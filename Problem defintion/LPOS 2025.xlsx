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64" activeTab="375"/>
  </bookViews>
  <sheets>
    <sheet name="1982" sheetId="1" r:id="rId1"/>
    <sheet name="1983" sheetId="2" r:id="rId2"/>
    <sheet name="1984" sheetId="3" r:id="rId3"/>
    <sheet name="1985" sheetId="4" r:id="rId4"/>
    <sheet name="1986" sheetId="5" r:id="rId5"/>
    <sheet name="1987" sheetId="6" r:id="rId6"/>
    <sheet name="1988" sheetId="7" r:id="rId7"/>
    <sheet name="1989" sheetId="9" r:id="rId8"/>
    <sheet name="1990" sheetId="10" r:id="rId9"/>
    <sheet name="1991" sheetId="11" r:id="rId10"/>
    <sheet name="1992" sheetId="12" r:id="rId11"/>
    <sheet name="1993" sheetId="13" r:id="rId12"/>
    <sheet name="1994" sheetId="14" r:id="rId13"/>
    <sheet name="1995" sheetId="15" r:id="rId14"/>
    <sheet name="1996" sheetId="16" r:id="rId15"/>
    <sheet name="1997" sheetId="17" r:id="rId16"/>
    <sheet name="1998" sheetId="18" r:id="rId17"/>
    <sheet name="1999" sheetId="19" r:id="rId18"/>
    <sheet name="2000" sheetId="20" r:id="rId19"/>
    <sheet name="2001" sheetId="21" r:id="rId20"/>
    <sheet name="2002" sheetId="22" r:id="rId21"/>
    <sheet name="2003" sheetId="23" r:id="rId22"/>
    <sheet name="2004" sheetId="24" r:id="rId23"/>
    <sheet name="2005" sheetId="25" r:id="rId24"/>
    <sheet name="2006" sheetId="26" r:id="rId25"/>
    <sheet name="2007" sheetId="27" r:id="rId26"/>
    <sheet name="2008" sheetId="28" r:id="rId27"/>
    <sheet name="2009" sheetId="29" r:id="rId28"/>
    <sheet name="2010" sheetId="30" r:id="rId29"/>
    <sheet name="2011" sheetId="31" r:id="rId30"/>
    <sheet name="2012" sheetId="32" r:id="rId31"/>
    <sheet name="2013" sheetId="33" r:id="rId32"/>
    <sheet name="2014" sheetId="34" r:id="rId33"/>
    <sheet name="2015" sheetId="35" r:id="rId34"/>
    <sheet name="2016" sheetId="36" r:id="rId35"/>
    <sheet name="2017" sheetId="37" r:id="rId36"/>
    <sheet name="2018" sheetId="38" r:id="rId37"/>
    <sheet name="2019" sheetId="39" r:id="rId38"/>
    <sheet name="2020" sheetId="40" r:id="rId39"/>
    <sheet name="2021" sheetId="41" r:id="rId40"/>
    <sheet name="2022" sheetId="42" r:id="rId41"/>
    <sheet name="2023" sheetId="43" r:id="rId42"/>
    <sheet name="2024" sheetId="44" r:id="rId43"/>
    <sheet name="2025" sheetId="45" r:id="rId44"/>
    <sheet name="2026" sheetId="46" r:id="rId45"/>
    <sheet name="2027" sheetId="47" r:id="rId46"/>
    <sheet name="2028" sheetId="48" r:id="rId47"/>
    <sheet name="2029" sheetId="49" r:id="rId48"/>
    <sheet name="2030" sheetId="50" r:id="rId49"/>
    <sheet name="2031" sheetId="52" r:id="rId50"/>
    <sheet name="2032" sheetId="53" r:id="rId51"/>
    <sheet name="2033" sheetId="54" r:id="rId52"/>
    <sheet name="2034" sheetId="55" r:id="rId53"/>
    <sheet name="2035" sheetId="56" r:id="rId54"/>
    <sheet name="2036" sheetId="57" r:id="rId55"/>
    <sheet name="2037" sheetId="58" r:id="rId56"/>
    <sheet name="2038" sheetId="59" r:id="rId57"/>
    <sheet name="2039" sheetId="60" r:id="rId58"/>
    <sheet name="2040" sheetId="61" r:id="rId59"/>
    <sheet name="2041" sheetId="62" r:id="rId60"/>
    <sheet name="2042" sheetId="63" r:id="rId61"/>
    <sheet name="2043" sheetId="64" r:id="rId62"/>
    <sheet name="2044" sheetId="65" r:id="rId63"/>
    <sheet name="2045" sheetId="66" r:id="rId64"/>
    <sheet name="2046" sheetId="67" r:id="rId65"/>
    <sheet name="2047" sheetId="68" r:id="rId66"/>
    <sheet name="2048" sheetId="69" r:id="rId67"/>
    <sheet name="2049" sheetId="70" r:id="rId68"/>
    <sheet name="2050" sheetId="71" r:id="rId69"/>
    <sheet name="2051" sheetId="72" r:id="rId70"/>
    <sheet name="2052" sheetId="73" r:id="rId71"/>
    <sheet name="2053" sheetId="74" r:id="rId72"/>
    <sheet name="2054" sheetId="75" r:id="rId73"/>
    <sheet name="2055" sheetId="76" r:id="rId74"/>
    <sheet name="2056" sheetId="77" r:id="rId75"/>
    <sheet name="2057" sheetId="78" r:id="rId76"/>
    <sheet name="2058" sheetId="79" r:id="rId77"/>
    <sheet name="2059" sheetId="80" r:id="rId78"/>
    <sheet name="2060" sheetId="81" r:id="rId79"/>
    <sheet name="2061" sheetId="82" r:id="rId80"/>
    <sheet name="2062" sheetId="83" r:id="rId81"/>
    <sheet name="2063" sheetId="84" r:id="rId82"/>
    <sheet name="2064" sheetId="85" r:id="rId83"/>
    <sheet name="2065" sheetId="86" r:id="rId84"/>
    <sheet name="2066" sheetId="87" r:id="rId85"/>
    <sheet name="2067" sheetId="88" r:id="rId86"/>
    <sheet name="2068" sheetId="89" r:id="rId87"/>
    <sheet name="2069" sheetId="90" r:id="rId88"/>
    <sheet name="2070" sheetId="91" r:id="rId89"/>
    <sheet name="2071" sheetId="92" r:id="rId90"/>
    <sheet name="2072" sheetId="93" r:id="rId91"/>
    <sheet name="2073" sheetId="94" r:id="rId92"/>
    <sheet name="2074" sheetId="95" r:id="rId93"/>
    <sheet name="2075" sheetId="96" r:id="rId94"/>
    <sheet name="2076" sheetId="97" r:id="rId95"/>
    <sheet name="2077" sheetId="98" r:id="rId96"/>
    <sheet name="2078" sheetId="99" r:id="rId97"/>
    <sheet name="2079" sheetId="100" r:id="rId98"/>
    <sheet name="2080" sheetId="101" r:id="rId99"/>
    <sheet name="2081" sheetId="102" r:id="rId100"/>
    <sheet name="2082" sheetId="103" r:id="rId101"/>
    <sheet name="2083" sheetId="104" r:id="rId102"/>
    <sheet name="2084" sheetId="105" r:id="rId103"/>
    <sheet name="2085" sheetId="106" r:id="rId104"/>
    <sheet name="2086" sheetId="107" r:id="rId105"/>
    <sheet name="2087" sheetId="108" r:id="rId106"/>
    <sheet name="2088" sheetId="109" r:id="rId107"/>
    <sheet name="2089" sheetId="111" r:id="rId108"/>
    <sheet name="2090" sheetId="112" r:id="rId109"/>
    <sheet name="2091" sheetId="113" r:id="rId110"/>
    <sheet name="2092" sheetId="114" r:id="rId111"/>
    <sheet name="2093" sheetId="115" r:id="rId112"/>
    <sheet name="2094" sheetId="116" r:id="rId113"/>
    <sheet name="2095" sheetId="117" r:id="rId114"/>
    <sheet name="2096" sheetId="118" r:id="rId115"/>
    <sheet name="2097" sheetId="119" r:id="rId116"/>
    <sheet name="2098" sheetId="120" r:id="rId117"/>
    <sheet name="2099" sheetId="121" r:id="rId118"/>
    <sheet name="2100" sheetId="122" r:id="rId119"/>
    <sheet name="2101" sheetId="123" r:id="rId120"/>
    <sheet name="2102" sheetId="124" r:id="rId121"/>
    <sheet name="2103" sheetId="125" r:id="rId122"/>
    <sheet name="2104" sheetId="126" r:id="rId123"/>
    <sheet name="2105" sheetId="128" r:id="rId124"/>
    <sheet name="2106" sheetId="127" r:id="rId125"/>
    <sheet name="2107" sheetId="131" r:id="rId126"/>
    <sheet name="2108" sheetId="133" r:id="rId127"/>
    <sheet name="2109" sheetId="134" r:id="rId128"/>
    <sheet name="2110" sheetId="135" r:id="rId129"/>
    <sheet name="2111" sheetId="136" r:id="rId130"/>
    <sheet name="2112" sheetId="137" r:id="rId131"/>
    <sheet name="2113" sheetId="138" r:id="rId132"/>
    <sheet name="2114" sheetId="139" r:id="rId133"/>
    <sheet name="2115" sheetId="140" r:id="rId134"/>
    <sheet name="2116" sheetId="141" r:id="rId135"/>
    <sheet name="2117" sheetId="142" r:id="rId136"/>
    <sheet name="2118" sheetId="143" r:id="rId137"/>
    <sheet name="2119" sheetId="144" r:id="rId138"/>
    <sheet name="2120" sheetId="145" r:id="rId139"/>
    <sheet name="2121" sheetId="146" r:id="rId140"/>
    <sheet name="2122" sheetId="147" r:id="rId141"/>
    <sheet name="2123" sheetId="148" r:id="rId142"/>
    <sheet name="2124" sheetId="149" r:id="rId143"/>
    <sheet name="2125" sheetId="150" r:id="rId144"/>
    <sheet name="2126" sheetId="151" r:id="rId145"/>
    <sheet name="2127" sheetId="152" r:id="rId146"/>
    <sheet name="2128" sheetId="154" r:id="rId147"/>
    <sheet name="2129" sheetId="155" r:id="rId148"/>
    <sheet name="2130" sheetId="156" r:id="rId149"/>
    <sheet name="2131" sheetId="157" r:id="rId150"/>
    <sheet name="2132" sheetId="158" r:id="rId151"/>
    <sheet name="2133" sheetId="159" r:id="rId152"/>
    <sheet name="2134" sheetId="160" r:id="rId153"/>
    <sheet name="2135" sheetId="161" r:id="rId154"/>
    <sheet name="2136" sheetId="162" r:id="rId155"/>
    <sheet name="2137" sheetId="163" r:id="rId156"/>
    <sheet name="2138" sheetId="164" r:id="rId157"/>
    <sheet name="2139" sheetId="165" r:id="rId158"/>
    <sheet name="2140" sheetId="166" r:id="rId159"/>
    <sheet name="2141" sheetId="168" r:id="rId160"/>
    <sheet name="2142" sheetId="169" r:id="rId161"/>
    <sheet name="2143" sheetId="170" r:id="rId162"/>
    <sheet name="2144" sheetId="172" r:id="rId163"/>
    <sheet name="2145" sheetId="173" r:id="rId164"/>
    <sheet name="2146" sheetId="174" r:id="rId165"/>
    <sheet name="2147" sheetId="175" r:id="rId166"/>
    <sheet name="2148" sheetId="176" r:id="rId167"/>
    <sheet name="2149" sheetId="178" r:id="rId168"/>
    <sheet name="2150" sheetId="179" r:id="rId169"/>
    <sheet name="2151" sheetId="180" r:id="rId170"/>
    <sheet name="2152" sheetId="181" r:id="rId171"/>
    <sheet name="2153" sheetId="182" r:id="rId172"/>
    <sheet name="2154" sheetId="183" r:id="rId173"/>
    <sheet name="2155" sheetId="184" r:id="rId174"/>
    <sheet name="2156" sheetId="185" r:id="rId175"/>
    <sheet name="2157" sheetId="186" r:id="rId176"/>
    <sheet name="2158" sheetId="187" r:id="rId177"/>
    <sheet name="2159" sheetId="188" r:id="rId178"/>
    <sheet name="2160" sheetId="189" r:id="rId179"/>
    <sheet name="2161" sheetId="190" r:id="rId180"/>
    <sheet name="2162" sheetId="191" r:id="rId181"/>
    <sheet name="2163" sheetId="192" r:id="rId182"/>
    <sheet name="2164" sheetId="193" r:id="rId183"/>
    <sheet name="2165" sheetId="194" r:id="rId184"/>
    <sheet name="2166" sheetId="195" r:id="rId185"/>
    <sheet name="2167" sheetId="196" r:id="rId186"/>
    <sheet name="2168" sheetId="197" r:id="rId187"/>
    <sheet name="2169" sheetId="198" r:id="rId188"/>
    <sheet name="2170" sheetId="199" r:id="rId189"/>
    <sheet name="2171" sheetId="200" r:id="rId190"/>
    <sheet name="2172" sheetId="201" r:id="rId191"/>
    <sheet name="2173" sheetId="202" r:id="rId192"/>
    <sheet name="2174" sheetId="203" r:id="rId193"/>
    <sheet name="2175" sheetId="204" r:id="rId194"/>
    <sheet name="2176" sheetId="205" r:id="rId195"/>
    <sheet name="2177" sheetId="206" r:id="rId196"/>
    <sheet name="2178" sheetId="207" r:id="rId197"/>
    <sheet name="2179" sheetId="209" r:id="rId198"/>
    <sheet name="2180" sheetId="208" r:id="rId199"/>
    <sheet name="2181" sheetId="210" r:id="rId200"/>
    <sheet name="2182" sheetId="211" r:id="rId201"/>
    <sheet name="2183" sheetId="212" r:id="rId202"/>
    <sheet name="2184" sheetId="213" r:id="rId203"/>
    <sheet name="2185" sheetId="214" r:id="rId204"/>
    <sheet name="2186" sheetId="215" r:id="rId205"/>
    <sheet name="2187" sheetId="216" r:id="rId206"/>
    <sheet name="2188" sheetId="217" r:id="rId207"/>
    <sheet name="2189" sheetId="218" r:id="rId208"/>
    <sheet name="2190" sheetId="219" r:id="rId209"/>
    <sheet name="2191" sheetId="220" r:id="rId210"/>
    <sheet name="2192" sheetId="221" r:id="rId211"/>
    <sheet name="2193" sheetId="222" r:id="rId212"/>
    <sheet name="2194" sheetId="223" r:id="rId213"/>
    <sheet name="2195" sheetId="224" r:id="rId214"/>
    <sheet name="2196" sheetId="225" r:id="rId215"/>
    <sheet name="2197" sheetId="226" r:id="rId216"/>
    <sheet name="2198" sheetId="227" r:id="rId217"/>
    <sheet name="2199" sheetId="228" r:id="rId218"/>
    <sheet name="2200" sheetId="229" r:id="rId219"/>
    <sheet name="2201" sheetId="230" r:id="rId220"/>
    <sheet name="2202" sheetId="231" r:id="rId221"/>
    <sheet name="2203" sheetId="232" r:id="rId222"/>
    <sheet name="2204" sheetId="233" r:id="rId223"/>
    <sheet name="2205" sheetId="234" r:id="rId224"/>
    <sheet name="2206" sheetId="235" r:id="rId225"/>
    <sheet name="2207" sheetId="236" r:id="rId226"/>
    <sheet name="2208" sheetId="237" r:id="rId227"/>
    <sheet name="2209" sheetId="238" r:id="rId228"/>
    <sheet name="2210" sheetId="239" r:id="rId229"/>
    <sheet name="2211" sheetId="240" r:id="rId230"/>
    <sheet name="2212" sheetId="241" r:id="rId231"/>
    <sheet name="2213" sheetId="242" r:id="rId232"/>
    <sheet name="2214" sheetId="243" r:id="rId233"/>
    <sheet name="2215" sheetId="244" r:id="rId234"/>
    <sheet name="2216" sheetId="245" r:id="rId235"/>
    <sheet name="2217" sheetId="246" r:id="rId236"/>
    <sheet name="2218 " sheetId="248" r:id="rId237"/>
    <sheet name="2219" sheetId="250" r:id="rId238"/>
    <sheet name="2220" sheetId="249" r:id="rId239"/>
    <sheet name="2221" sheetId="251" r:id="rId240"/>
    <sheet name="2222" sheetId="252" r:id="rId241"/>
    <sheet name="2223" sheetId="253" r:id="rId242"/>
    <sheet name="2224" sheetId="254" r:id="rId243"/>
    <sheet name="2225" sheetId="255" r:id="rId244"/>
    <sheet name="2226" sheetId="256" r:id="rId245"/>
    <sheet name="2227" sheetId="257" r:id="rId246"/>
    <sheet name="2228" sheetId="258" r:id="rId247"/>
    <sheet name="2229" sheetId="259" r:id="rId248"/>
    <sheet name="2230" sheetId="260" r:id="rId249"/>
    <sheet name="2231" sheetId="261" r:id="rId250"/>
    <sheet name="2232" sheetId="262" r:id="rId251"/>
    <sheet name="2233" sheetId="263" r:id="rId252"/>
    <sheet name="2234" sheetId="264" r:id="rId253"/>
    <sheet name="2235" sheetId="265" r:id="rId254"/>
    <sheet name="2236" sheetId="266" r:id="rId255"/>
    <sheet name="2237" sheetId="267" r:id="rId256"/>
    <sheet name="2238" sheetId="268" r:id="rId257"/>
    <sheet name="2239" sheetId="269" r:id="rId258"/>
    <sheet name="2240" sheetId="270" r:id="rId259"/>
    <sheet name="2241" sheetId="271" r:id="rId260"/>
    <sheet name="2242" sheetId="273" r:id="rId261"/>
    <sheet name="2243" sheetId="274" r:id="rId262"/>
    <sheet name="2244" sheetId="276" r:id="rId263"/>
    <sheet name="2245" sheetId="275" r:id="rId264"/>
    <sheet name="2246" sheetId="277" r:id="rId265"/>
    <sheet name="2247" sheetId="278" r:id="rId266"/>
    <sheet name="2248" sheetId="279" r:id="rId267"/>
    <sheet name="2249" sheetId="280" r:id="rId268"/>
    <sheet name="2250" sheetId="281" r:id="rId269"/>
    <sheet name="2251" sheetId="282" r:id="rId270"/>
    <sheet name="2252" sheetId="283" r:id="rId271"/>
    <sheet name="2253" sheetId="284" r:id="rId272"/>
    <sheet name="2254" sheetId="285" r:id="rId273"/>
    <sheet name="2255" sheetId="286" r:id="rId274"/>
    <sheet name="2256" sheetId="287" r:id="rId275"/>
    <sheet name="2257" sheetId="288" r:id="rId276"/>
    <sheet name="2258" sheetId="290" r:id="rId277"/>
    <sheet name="2259" sheetId="291" r:id="rId278"/>
    <sheet name="2260" sheetId="292" r:id="rId279"/>
    <sheet name="2261" sheetId="293" r:id="rId280"/>
    <sheet name="2262" sheetId="294" r:id="rId281"/>
    <sheet name="2263" sheetId="272" r:id="rId282"/>
    <sheet name="2264" sheetId="295" r:id="rId283"/>
    <sheet name="2265" sheetId="289" r:id="rId284"/>
    <sheet name="2266" sheetId="296" r:id="rId285"/>
    <sheet name="2267" sheetId="297" r:id="rId286"/>
    <sheet name="2268" sheetId="298" r:id="rId287"/>
    <sheet name="2269" sheetId="299" r:id="rId288"/>
    <sheet name="2270" sheetId="300" r:id="rId289"/>
    <sheet name="2271" sheetId="301" r:id="rId290"/>
    <sheet name="2272" sheetId="302" r:id="rId291"/>
    <sheet name="2273" sheetId="303" r:id="rId292"/>
    <sheet name="2274" sheetId="304" r:id="rId293"/>
    <sheet name="2275" sheetId="305" r:id="rId294"/>
    <sheet name="2276" sheetId="306" r:id="rId295"/>
    <sheet name="2277" sheetId="307" r:id="rId296"/>
    <sheet name="2278" sheetId="308" r:id="rId297"/>
    <sheet name="2279" sheetId="309" r:id="rId298"/>
    <sheet name="2280" sheetId="310" r:id="rId299"/>
    <sheet name="2281" sheetId="311" r:id="rId300"/>
    <sheet name="2282" sheetId="312" r:id="rId301"/>
    <sheet name="2283" sheetId="314" r:id="rId302"/>
    <sheet name="2284" sheetId="315" r:id="rId303"/>
    <sheet name="2285" sheetId="316" r:id="rId304"/>
    <sheet name="2286" sheetId="317" r:id="rId305"/>
    <sheet name="2287" sheetId="318" r:id="rId306"/>
    <sheet name="2288" sheetId="319" r:id="rId307"/>
    <sheet name="2289" sheetId="320" r:id="rId308"/>
    <sheet name="2290" sheetId="321" r:id="rId309"/>
    <sheet name="2291" sheetId="313" r:id="rId310"/>
    <sheet name="2292" sheetId="322" r:id="rId311"/>
    <sheet name="2293" sheetId="323" r:id="rId312"/>
    <sheet name="2294" sheetId="324" r:id="rId313"/>
    <sheet name="2295" sheetId="325" r:id="rId314"/>
    <sheet name="2296" sheetId="326" r:id="rId315"/>
    <sheet name="2297" sheetId="327" r:id="rId316"/>
    <sheet name="2298" sheetId="328" r:id="rId317"/>
    <sheet name="2299" sheetId="329" r:id="rId318"/>
    <sheet name="2300" sheetId="330" r:id="rId319"/>
    <sheet name="2301" sheetId="331" r:id="rId320"/>
    <sheet name="2302" sheetId="332" r:id="rId321"/>
    <sheet name="2303" sheetId="333" r:id="rId322"/>
    <sheet name="2304" sheetId="334" r:id="rId323"/>
    <sheet name="2305" sheetId="335" r:id="rId324"/>
    <sheet name="2306" sheetId="336" r:id="rId325"/>
    <sheet name="2307" sheetId="337" r:id="rId326"/>
    <sheet name="2308" sheetId="338" r:id="rId327"/>
    <sheet name="2309" sheetId="339" r:id="rId328"/>
    <sheet name="2310" sheetId="340" r:id="rId329"/>
    <sheet name="2311" sheetId="341" r:id="rId330"/>
    <sheet name="2312" sheetId="342" r:id="rId331"/>
    <sheet name="2313" sheetId="343" r:id="rId332"/>
    <sheet name="2314" sheetId="344" r:id="rId333"/>
    <sheet name="2315" sheetId="345" r:id="rId334"/>
    <sheet name="2316" sheetId="346" r:id="rId335"/>
    <sheet name="2317" sheetId="347" r:id="rId336"/>
    <sheet name="2318" sheetId="348" r:id="rId337"/>
    <sheet name="2319" sheetId="349" r:id="rId338"/>
    <sheet name="2320" sheetId="350" r:id="rId339"/>
    <sheet name="2321" sheetId="351" r:id="rId340"/>
    <sheet name="2322" sheetId="352" r:id="rId341"/>
    <sheet name="2323" sheetId="353" r:id="rId342"/>
    <sheet name="2324" sheetId="354" r:id="rId343"/>
    <sheet name="2325" sheetId="355" r:id="rId344"/>
    <sheet name="2326" sheetId="356" r:id="rId345"/>
    <sheet name="2327" sheetId="357" r:id="rId346"/>
    <sheet name="2328" sheetId="358" r:id="rId347"/>
    <sheet name="2329" sheetId="359" r:id="rId348"/>
    <sheet name="2330" sheetId="360" r:id="rId349"/>
    <sheet name="2331" sheetId="361" r:id="rId350"/>
    <sheet name="2332" sheetId="362" r:id="rId351"/>
    <sheet name="2333" sheetId="363" r:id="rId352"/>
    <sheet name="2334" sheetId="364" r:id="rId353"/>
    <sheet name="2335" sheetId="366" r:id="rId354"/>
    <sheet name="2336" sheetId="365" r:id="rId355"/>
    <sheet name="2337" sheetId="367" r:id="rId356"/>
    <sheet name="2338" sheetId="368" r:id="rId357"/>
    <sheet name="2339" sheetId="369" r:id="rId358"/>
    <sheet name="2340" sheetId="370" r:id="rId359"/>
    <sheet name="2341" sheetId="371" r:id="rId360"/>
    <sheet name="2342" sheetId="372" r:id="rId361"/>
    <sheet name="2343" sheetId="373" r:id="rId362"/>
    <sheet name="2344" sheetId="374" r:id="rId363"/>
    <sheet name="2345" sheetId="375" r:id="rId364"/>
    <sheet name="2346" sheetId="376" r:id="rId365"/>
    <sheet name="2347" sheetId="377" r:id="rId366"/>
    <sheet name="2348" sheetId="378" r:id="rId367"/>
    <sheet name="2349" sheetId="379" r:id="rId368"/>
    <sheet name="2350" sheetId="380" r:id="rId369"/>
    <sheet name="2351" sheetId="381" r:id="rId370"/>
    <sheet name="2352" sheetId="382" r:id="rId371"/>
    <sheet name="2353" sheetId="383" r:id="rId372"/>
    <sheet name="2354" sheetId="384" r:id="rId373"/>
    <sheet name="2355" sheetId="385" r:id="rId374"/>
    <sheet name="2356" sheetId="386" r:id="rId375"/>
    <sheet name="2357" sheetId="387" r:id="rId376"/>
    <sheet name="2358" sheetId="388" r:id="rId377"/>
    <sheet name="2359" sheetId="389" r:id="rId378"/>
    <sheet name="2360" sheetId="390" r:id="rId379"/>
  </sheets>
  <calcPr calcId="144525"/>
</workbook>
</file>

<file path=xl/sharedStrings.xml><?xml version="1.0" encoding="utf-8"?>
<sst xmlns="http://schemas.openxmlformats.org/spreadsheetml/2006/main" count="9146" uniqueCount="954">
  <si>
    <t>TAHMEED COACH TZ LTD</t>
  </si>
  <si>
    <t>Lpo No. 1982</t>
  </si>
  <si>
    <t>Date : 06.10.2025</t>
  </si>
  <si>
    <t>Station : LAKE KAPIRI</t>
  </si>
  <si>
    <t>Order of : TAHMEED</t>
  </si>
  <si>
    <t xml:space="preserve">KINDLY SUPPLY THE FOLLOWING LITERS </t>
  </si>
  <si>
    <t>Do No.</t>
  </si>
  <si>
    <t>Truck No.</t>
  </si>
  <si>
    <t xml:space="preserve">Liters </t>
  </si>
  <si>
    <t xml:space="preserve">Rate </t>
  </si>
  <si>
    <t>Amount</t>
  </si>
  <si>
    <t>Dest.</t>
  </si>
  <si>
    <t>T703 DXY</t>
  </si>
  <si>
    <t>Kolwezi</t>
  </si>
  <si>
    <t>T203 EHE</t>
  </si>
  <si>
    <t>T150 DZY</t>
  </si>
  <si>
    <t>T984 DVK</t>
  </si>
  <si>
    <t>Kambove</t>
  </si>
  <si>
    <t>TOTAL</t>
  </si>
  <si>
    <t>Lpo No. 1983</t>
  </si>
  <si>
    <t>Station : LAKE TUNDUMA</t>
  </si>
  <si>
    <t>T642 EAF</t>
  </si>
  <si>
    <t>Dar</t>
  </si>
  <si>
    <t>T597 DTB</t>
  </si>
  <si>
    <t>T752 ELY</t>
  </si>
  <si>
    <t>T602 EDD</t>
  </si>
  <si>
    <t>T755 ELY</t>
  </si>
  <si>
    <t>T606 EDD</t>
  </si>
  <si>
    <t>T534 EGD</t>
  </si>
  <si>
    <t>T757 ELY</t>
  </si>
  <si>
    <t>T598 EDD</t>
  </si>
  <si>
    <t>T244 ELV</t>
  </si>
  <si>
    <t>T701 DXY</t>
  </si>
  <si>
    <t>T853 EKS</t>
  </si>
  <si>
    <t>T673 EAQ</t>
  </si>
  <si>
    <t>T902 EEU</t>
  </si>
  <si>
    <t>T970 DNW</t>
  </si>
  <si>
    <t>T709 DXY</t>
  </si>
  <si>
    <t>T635 EAF</t>
  </si>
  <si>
    <t>T756 ELY</t>
  </si>
  <si>
    <t>T542 EKT</t>
  </si>
  <si>
    <t>T754 ELY</t>
  </si>
  <si>
    <t>T114 DVL</t>
  </si>
  <si>
    <t>T750 ELY</t>
  </si>
  <si>
    <t>T556 EKT</t>
  </si>
  <si>
    <t>Lpo No. 1984</t>
  </si>
  <si>
    <t>Station : INFINITY</t>
  </si>
  <si>
    <t>Lpo No. 1985</t>
  </si>
  <si>
    <t>Order of : BOSS SALIM</t>
  </si>
  <si>
    <t>NIL</t>
  </si>
  <si>
    <t>KDR710R</t>
  </si>
  <si>
    <t>Lpo No. 1986</t>
  </si>
  <si>
    <t>T551 EKT</t>
  </si>
  <si>
    <t>Kpm</t>
  </si>
  <si>
    <t>T862 EKS</t>
  </si>
  <si>
    <t>Lpo No. 1987</t>
  </si>
  <si>
    <t>Station : GBP MOROGORO</t>
  </si>
  <si>
    <t>REEFER</t>
  </si>
  <si>
    <t>T714 DXY</t>
  </si>
  <si>
    <t>Lpo No. 1988</t>
  </si>
  <si>
    <t>Date : 07.10.2025</t>
  </si>
  <si>
    <t>Station : CASH</t>
  </si>
  <si>
    <t>T669 ECQ</t>
  </si>
  <si>
    <t>Lpo No. 1989</t>
  </si>
  <si>
    <t>T839 EKS</t>
  </si>
  <si>
    <t>T510 EGD</t>
  </si>
  <si>
    <t>T837 EKS</t>
  </si>
  <si>
    <t>Lpo No. 1990</t>
  </si>
  <si>
    <t>Lpo No. 1991</t>
  </si>
  <si>
    <t>Station : LAKE CHILABOMBWE</t>
  </si>
  <si>
    <t>T730 EET</t>
  </si>
  <si>
    <t>T655 ECQ</t>
  </si>
  <si>
    <t>T536 EEQ</t>
  </si>
  <si>
    <t>T214 ELV</t>
  </si>
  <si>
    <t>T513 EGD</t>
  </si>
  <si>
    <t>Lpo No. 1992</t>
  </si>
  <si>
    <t>Station : LAKE NDOLA</t>
  </si>
  <si>
    <t>T242 ELV</t>
  </si>
  <si>
    <t>Msa</t>
  </si>
  <si>
    <t>T720 EET</t>
  </si>
  <si>
    <t>T712 DXY</t>
  </si>
  <si>
    <t>T243 ELV</t>
  </si>
  <si>
    <t>T236 ELV</t>
  </si>
  <si>
    <t>T663 ECQ</t>
  </si>
  <si>
    <t>T565 EAF</t>
  </si>
  <si>
    <t>T595 DRE</t>
  </si>
  <si>
    <t>T162 DZY</t>
  </si>
  <si>
    <t>T697 DXY</t>
  </si>
  <si>
    <t>T594 EDD</t>
  </si>
  <si>
    <t>Lpo No. 1993</t>
  </si>
  <si>
    <t>T592 DRE</t>
  </si>
  <si>
    <t>T587 DTB</t>
  </si>
  <si>
    <t>T770 DWK</t>
  </si>
  <si>
    <t>Lpo No. 1994</t>
  </si>
  <si>
    <t>T860 EKS</t>
  </si>
  <si>
    <t>Lpo No. 1995</t>
  </si>
  <si>
    <t>Station : LAKE CHINGOLA</t>
  </si>
  <si>
    <t>T714 EHJ</t>
  </si>
  <si>
    <t>T586 DRE</t>
  </si>
  <si>
    <t>T667 ECQ</t>
  </si>
  <si>
    <t>Lpo No. 1996</t>
  </si>
  <si>
    <t>T134 DZY</t>
  </si>
  <si>
    <t>Lpo No. 1997</t>
  </si>
  <si>
    <t>Date : 08.10.2025</t>
  </si>
  <si>
    <t>T974 DVK</t>
  </si>
  <si>
    <t>T487 EEQ</t>
  </si>
  <si>
    <t>T811 EEU</t>
  </si>
  <si>
    <t>T531 EGD</t>
  </si>
  <si>
    <t>T587 DRE</t>
  </si>
  <si>
    <t>Lpo No. 1998</t>
  </si>
  <si>
    <t>T154 EGJ</t>
  </si>
  <si>
    <t>T510 EEQ</t>
  </si>
  <si>
    <t>T408 EAF</t>
  </si>
  <si>
    <t>T204 EHE</t>
  </si>
  <si>
    <t>T891 EEU</t>
  </si>
  <si>
    <t>T144 DZY</t>
  </si>
  <si>
    <t>T713 EET</t>
  </si>
  <si>
    <t>T665 ECQ</t>
  </si>
  <si>
    <t>T102 EFP</t>
  </si>
  <si>
    <t>T166 EGJ</t>
  </si>
  <si>
    <t>T713 DXY</t>
  </si>
  <si>
    <t>T459 EAG</t>
  </si>
  <si>
    <t>T132 DZY</t>
  </si>
  <si>
    <t>T595 DTB</t>
  </si>
  <si>
    <t>Lpo No. 1999</t>
  </si>
  <si>
    <t>Lpo No. 2000</t>
  </si>
  <si>
    <t>T139 EFP</t>
  </si>
  <si>
    <t>T996 EFN</t>
  </si>
  <si>
    <t>T636 EAF</t>
  </si>
  <si>
    <t>T125 DYY</t>
  </si>
  <si>
    <t>T609 EDD</t>
  </si>
  <si>
    <t>T471 EDD</t>
  </si>
  <si>
    <t>T836 EKS</t>
  </si>
  <si>
    <t>T156 EGJ</t>
  </si>
  <si>
    <t>Lpo No. 2001</t>
  </si>
  <si>
    <t>T751 ELY</t>
  </si>
  <si>
    <t>Lpo No. 2002</t>
  </si>
  <si>
    <t>Lpo No. 2003</t>
  </si>
  <si>
    <t>Lpo No. 2004</t>
  </si>
  <si>
    <t>T633 EAF</t>
  </si>
  <si>
    <t>T572 EAF</t>
  </si>
  <si>
    <t>Lpo No. 2005</t>
  </si>
  <si>
    <t>Date : 09.10.2025</t>
  </si>
  <si>
    <t>T458 EAG</t>
  </si>
  <si>
    <t>T590 DRE</t>
  </si>
  <si>
    <t>T149 EFP</t>
  </si>
  <si>
    <t>T121 DZY</t>
  </si>
  <si>
    <t>T159 EGJ</t>
  </si>
  <si>
    <t>T530 DRF</t>
  </si>
  <si>
    <t>T123 DYY</t>
  </si>
  <si>
    <t>T160 EGJ</t>
  </si>
  <si>
    <t>T214 EHE</t>
  </si>
  <si>
    <t>T791 EEU</t>
  </si>
  <si>
    <t>T679 EAQ</t>
  </si>
  <si>
    <t>T724 EET</t>
  </si>
  <si>
    <t>T854 EKS</t>
  </si>
  <si>
    <t>T107 DVL</t>
  </si>
  <si>
    <t>T598 DTB</t>
  </si>
  <si>
    <t>Lpo No. 2006</t>
  </si>
  <si>
    <t>Lpo No. 2007</t>
  </si>
  <si>
    <t>Lpo No. 2008</t>
  </si>
  <si>
    <t>T700 DXY</t>
  </si>
  <si>
    <t>Lpo No. 2009</t>
  </si>
  <si>
    <t>T857 EKS</t>
  </si>
  <si>
    <t>Lpo No. 2010</t>
  </si>
  <si>
    <t>Lpo No. 2011</t>
  </si>
  <si>
    <t>T525 DRF</t>
  </si>
  <si>
    <t>T536 DRF</t>
  </si>
  <si>
    <t>T844 EKS</t>
  </si>
  <si>
    <t>T207 EHE</t>
  </si>
  <si>
    <t>T141 EFP</t>
  </si>
  <si>
    <t>T168 EGJ</t>
  </si>
  <si>
    <t>T607 EDD</t>
  </si>
  <si>
    <t>T148 DZY</t>
  </si>
  <si>
    <t>Lpo No. 2012</t>
  </si>
  <si>
    <t>T698 DXY</t>
  </si>
  <si>
    <t>T532 EGD</t>
  </si>
  <si>
    <t>T462 EAG</t>
  </si>
  <si>
    <t>T137 DZY</t>
  </si>
  <si>
    <t>T432 EAF</t>
  </si>
  <si>
    <t>Lpo No. 2013</t>
  </si>
  <si>
    <t>Date : 10.10.2025</t>
  </si>
  <si>
    <t>T758 ELY</t>
  </si>
  <si>
    <t>T968 DVK</t>
  </si>
  <si>
    <t>T652 ECQ</t>
  </si>
  <si>
    <t>T782 DWK</t>
  </si>
  <si>
    <t>T851 EKS</t>
  </si>
  <si>
    <t>T137 EFP</t>
  </si>
  <si>
    <t>T527 DRF</t>
  </si>
  <si>
    <t>Likasi</t>
  </si>
  <si>
    <t>T663 EAQ</t>
  </si>
  <si>
    <t>Lpo No. 2014</t>
  </si>
  <si>
    <t>T831 DNH</t>
  </si>
  <si>
    <t>T593 DRE</t>
  </si>
  <si>
    <t>Lpo No. 2015</t>
  </si>
  <si>
    <t>T524 DPN</t>
  </si>
  <si>
    <t>Lpo No. 2016</t>
  </si>
  <si>
    <t>T705 DXY</t>
  </si>
  <si>
    <t>T696 DXY</t>
  </si>
  <si>
    <t>Lpo No. 2017</t>
  </si>
  <si>
    <t>Lpo No. 2018</t>
  </si>
  <si>
    <t>Date : 11.10.2025</t>
  </si>
  <si>
    <t>T601 EDD</t>
  </si>
  <si>
    <t>Lubumbashi</t>
  </si>
  <si>
    <t>T797 EEU</t>
  </si>
  <si>
    <t>T976 DVK</t>
  </si>
  <si>
    <t>T794 DNH</t>
  </si>
  <si>
    <t>T793 DNH</t>
  </si>
  <si>
    <t>T583 DPN</t>
  </si>
  <si>
    <t>T575 EAF</t>
  </si>
  <si>
    <t>T113 DVL</t>
  </si>
  <si>
    <t>T218 EHE</t>
  </si>
  <si>
    <t>TFM</t>
  </si>
  <si>
    <t>Lpo No. 2019</t>
  </si>
  <si>
    <t>T579 DRE</t>
  </si>
  <si>
    <t>T523 DRF</t>
  </si>
  <si>
    <t>T592 EDD</t>
  </si>
  <si>
    <t>Lpo No. 2020</t>
  </si>
  <si>
    <t>Lpo No. 2021</t>
  </si>
  <si>
    <t>T602 EAG</t>
  </si>
  <si>
    <t>T634 DNY</t>
  </si>
  <si>
    <t>T715 DXY</t>
  </si>
  <si>
    <t>Lpo No. 2022</t>
  </si>
  <si>
    <t>T605 EDD</t>
  </si>
  <si>
    <t>T681 EAQ</t>
  </si>
  <si>
    <t>Lpo No. 2023</t>
  </si>
  <si>
    <t>Lpo No. 2024</t>
  </si>
  <si>
    <t>Lpo No. 2025</t>
  </si>
  <si>
    <t>T147 DZY</t>
  </si>
  <si>
    <t>Lpo No. 2026</t>
  </si>
  <si>
    <t>Lpo No. 2027</t>
  </si>
  <si>
    <t>T574 EAF</t>
  </si>
  <si>
    <t>T511 EGD</t>
  </si>
  <si>
    <t>T762 DWK</t>
  </si>
  <si>
    <t>T211 ELV</t>
  </si>
  <si>
    <t>T595 EDD</t>
  </si>
  <si>
    <t>Lpo No. 2028</t>
  </si>
  <si>
    <t>T759 ELY</t>
  </si>
  <si>
    <t>T533 EEQ</t>
  </si>
  <si>
    <t>T774 DWK</t>
  </si>
  <si>
    <t>T710 DXY</t>
  </si>
  <si>
    <t>T726 EET</t>
  </si>
  <si>
    <t>T216 ELV</t>
  </si>
  <si>
    <t>T215 ELV</t>
  </si>
  <si>
    <t>T238 ELV</t>
  </si>
  <si>
    <t>T709 EET</t>
  </si>
  <si>
    <t>Lpo No. 2029</t>
  </si>
  <si>
    <t>Lpo No. 2030</t>
  </si>
  <si>
    <t>Lpo No. 2031</t>
  </si>
  <si>
    <t>Lpo No. 2032</t>
  </si>
  <si>
    <t>Date : 12.10.2025</t>
  </si>
  <si>
    <t>T554 DPN</t>
  </si>
  <si>
    <t>T668 ECQ</t>
  </si>
  <si>
    <t>T531 DRF</t>
  </si>
  <si>
    <t>Lpo No. 2033</t>
  </si>
  <si>
    <t>Lpo No. 2034</t>
  </si>
  <si>
    <t>T640 EAF</t>
  </si>
  <si>
    <t>Lpo No. 2035</t>
  </si>
  <si>
    <t>Lpo No. 2036</t>
  </si>
  <si>
    <t>Lpo No. 2037</t>
  </si>
  <si>
    <t>T651 ECQ</t>
  </si>
  <si>
    <t>T709 EHJ</t>
  </si>
  <si>
    <t>T686 EAQ</t>
  </si>
  <si>
    <t>Lpo No. 2038</t>
  </si>
  <si>
    <t>Lpo No. 2039</t>
  </si>
  <si>
    <t>Date : 13.10.2025</t>
  </si>
  <si>
    <t>Lamikal</t>
  </si>
  <si>
    <t>Lpo No. 2040</t>
  </si>
  <si>
    <t>Lpo No. 2041</t>
  </si>
  <si>
    <t>Lpo No. 2042</t>
  </si>
  <si>
    <t>Lpo No. 2043</t>
  </si>
  <si>
    <t>Lpo No. 2044</t>
  </si>
  <si>
    <t>Date : 14.10.2025</t>
  </si>
  <si>
    <t>Lpo No. 2045</t>
  </si>
  <si>
    <t>T643 EAF</t>
  </si>
  <si>
    <t>T167 DZY</t>
  </si>
  <si>
    <t>T664 ECQ</t>
  </si>
  <si>
    <t>T753 ELY</t>
  </si>
  <si>
    <t>T732 EET</t>
  </si>
  <si>
    <t>Lpo No. 2046</t>
  </si>
  <si>
    <t>Lpo No. 2047</t>
  </si>
  <si>
    <t>Lpo No. 2048</t>
  </si>
  <si>
    <t>T517 EEQ</t>
  </si>
  <si>
    <t>T126 EFP</t>
  </si>
  <si>
    <t>T160 DZY</t>
  </si>
  <si>
    <t>T843 DNH</t>
  </si>
  <si>
    <t>T453 EAG</t>
  </si>
  <si>
    <t>T983 DVK</t>
  </si>
  <si>
    <t>T585 DTB</t>
  </si>
  <si>
    <t>T765 DWK</t>
  </si>
  <si>
    <t>T711 DXY</t>
  </si>
  <si>
    <t>T597 EDD</t>
  </si>
  <si>
    <t>T525 EEQ</t>
  </si>
  <si>
    <t>T670 ECQ</t>
  </si>
  <si>
    <t>T885 EEQ</t>
  </si>
  <si>
    <t>T603 EDD</t>
  </si>
  <si>
    <t>T776 DWK</t>
  </si>
  <si>
    <t>Lpo No. 2049</t>
  </si>
  <si>
    <t>Lpo No. 2050</t>
  </si>
  <si>
    <t>Lpo No. 2051</t>
  </si>
  <si>
    <t>Lpo No. 2052</t>
  </si>
  <si>
    <t>Lpo No. 2053</t>
  </si>
  <si>
    <t>Station : GBP KANGE</t>
  </si>
  <si>
    <t>Lpo No. 2054</t>
  </si>
  <si>
    <t>Lpo No. 2055</t>
  </si>
  <si>
    <t>T702 DXY</t>
  </si>
  <si>
    <t>Njombe</t>
  </si>
  <si>
    <t>Lpo No. 2056</t>
  </si>
  <si>
    <t>T212 ELV</t>
  </si>
  <si>
    <t>Lpo No. 2057</t>
  </si>
  <si>
    <t>Lpo No. 2058</t>
  </si>
  <si>
    <t>Date : 15.10.2025</t>
  </si>
  <si>
    <t>T405 EAF</t>
  </si>
  <si>
    <t>T710 EHJ</t>
  </si>
  <si>
    <t>T766 DWK</t>
  </si>
  <si>
    <t>T535 EGD</t>
  </si>
  <si>
    <t>T526 DRF</t>
  </si>
  <si>
    <t>T143 DZY</t>
  </si>
  <si>
    <t>T790 EEU</t>
  </si>
  <si>
    <t>T760 DNH</t>
  </si>
  <si>
    <t>T596 DRE</t>
  </si>
  <si>
    <t>T524 EEQ</t>
  </si>
  <si>
    <t>T707 DXY</t>
  </si>
  <si>
    <t>T512 EGD</t>
  </si>
  <si>
    <t>T146 EFP</t>
  </si>
  <si>
    <t>Lpo No. 2059</t>
  </si>
  <si>
    <t>Lpo No. 2060</t>
  </si>
  <si>
    <t>Lpo No. 2061</t>
  </si>
  <si>
    <t>Lpo No. 2062</t>
  </si>
  <si>
    <t>T123 DZY</t>
  </si>
  <si>
    <t>T634 EAF</t>
  </si>
  <si>
    <t>T541 EKT</t>
  </si>
  <si>
    <t>T684 ENG</t>
  </si>
  <si>
    <t>T681 ENG</t>
  </si>
  <si>
    <t>T613 ENG</t>
  </si>
  <si>
    <t>T614 ENG</t>
  </si>
  <si>
    <t>T687 ENG</t>
  </si>
  <si>
    <t>Lpo No. 2063</t>
  </si>
  <si>
    <t>Lpo No. 2064</t>
  </si>
  <si>
    <t>Lpo No. 2065</t>
  </si>
  <si>
    <t>Date : 16.10.2025</t>
  </si>
  <si>
    <t>T164 DZY</t>
  </si>
  <si>
    <t>T604 DNY</t>
  </si>
  <si>
    <t>T840 DNH</t>
  </si>
  <si>
    <t>T788 DWK</t>
  </si>
  <si>
    <t>Lpo No. 2066</t>
  </si>
  <si>
    <t>T885 EEU</t>
  </si>
  <si>
    <t>Lpo No. 2067</t>
  </si>
  <si>
    <t>T424 EAF</t>
  </si>
  <si>
    <t>T849 EKS</t>
  </si>
  <si>
    <t>T859 EKS</t>
  </si>
  <si>
    <t>T461 EAG</t>
  </si>
  <si>
    <t>T604 EDD</t>
  </si>
  <si>
    <t>T585 DRE</t>
  </si>
  <si>
    <t>T473 EKZ</t>
  </si>
  <si>
    <t>T653 DRE</t>
  </si>
  <si>
    <t>T717 EET</t>
  </si>
  <si>
    <t>T699 DXY</t>
  </si>
  <si>
    <t>T217 ELV</t>
  </si>
  <si>
    <t>T480 EKZ</t>
  </si>
  <si>
    <t>T132 EFP</t>
  </si>
  <si>
    <t>T618 ENG</t>
  </si>
  <si>
    <t>T545 EKT</t>
  </si>
  <si>
    <t>Lpo No. 2068</t>
  </si>
  <si>
    <t>Lpo No. 2069</t>
  </si>
  <si>
    <t>Lpo No. 2070</t>
  </si>
  <si>
    <t>T521 DRF</t>
  </si>
  <si>
    <t>Lpo No. 2071</t>
  </si>
  <si>
    <t>Lpo No. 2072</t>
  </si>
  <si>
    <t>T583 DRE</t>
  </si>
  <si>
    <t>T606 DNY</t>
  </si>
  <si>
    <t>T501 EEQ</t>
  </si>
  <si>
    <t>Lpo No. 2073</t>
  </si>
  <si>
    <t>Lpo No. 2074</t>
  </si>
  <si>
    <t>Date : 17.10.2025</t>
  </si>
  <si>
    <t>Lpo No. 2075</t>
  </si>
  <si>
    <t>Lpo No. 2076</t>
  </si>
  <si>
    <t>T475 EKZ</t>
  </si>
  <si>
    <t>T667 EAQ</t>
  </si>
  <si>
    <t>Lpo No. 2077</t>
  </si>
  <si>
    <t>Lpo No. 2078</t>
  </si>
  <si>
    <t>T588 DRE</t>
  </si>
  <si>
    <t>Lpo No. 2079</t>
  </si>
  <si>
    <t>Date : 18.10.2025</t>
  </si>
  <si>
    <t>T580 DRE</t>
  </si>
  <si>
    <t>T784 DWK</t>
  </si>
  <si>
    <t>T857 DNH</t>
  </si>
  <si>
    <t>Lpo No. 2080</t>
  </si>
  <si>
    <t>Lpo No. 2081</t>
  </si>
  <si>
    <t>T881 EEU</t>
  </si>
  <si>
    <t>Lpo No. 2082</t>
  </si>
  <si>
    <t>Lpo No. 2083</t>
  </si>
  <si>
    <t>Date : 19.10.2025</t>
  </si>
  <si>
    <t>T699 EHJ</t>
  </si>
  <si>
    <t>T641 EAF</t>
  </si>
  <si>
    <t>T552 DRE</t>
  </si>
  <si>
    <t>Lpo No. 2084</t>
  </si>
  <si>
    <t>Lpo No. 2085</t>
  </si>
  <si>
    <t>Lpo No. 2086</t>
  </si>
  <si>
    <t>Lpo No. 2087</t>
  </si>
  <si>
    <t>Lpo No. 2088</t>
  </si>
  <si>
    <t>Lpo No. 2089</t>
  </si>
  <si>
    <t>Date : 20.10.2025</t>
  </si>
  <si>
    <t>T596 EDD</t>
  </si>
  <si>
    <t>Lpo No. 2090</t>
  </si>
  <si>
    <t>Lpo No. 2091</t>
  </si>
  <si>
    <t>Lpo No. 2092</t>
  </si>
  <si>
    <t>Reserve</t>
  </si>
  <si>
    <t>Lpo No. 2093</t>
  </si>
  <si>
    <t>Date : 21.10.2025</t>
  </si>
  <si>
    <t>T543 DRF</t>
  </si>
  <si>
    <t>T142 DZY</t>
  </si>
  <si>
    <t>Lpo No. 2094</t>
  </si>
  <si>
    <t>Lpo No. 2095</t>
  </si>
  <si>
    <t>Lpo No. 2097</t>
  </si>
  <si>
    <t>Date : 22.10.2025</t>
  </si>
  <si>
    <t>T767 DNH</t>
  </si>
  <si>
    <t>Lpo No. 2098</t>
  </si>
  <si>
    <t>T157 EGJ</t>
  </si>
  <si>
    <t>T829 DNH</t>
  </si>
  <si>
    <t>T554 DRE</t>
  </si>
  <si>
    <t>T846 EKS</t>
  </si>
  <si>
    <t>T990 EFN</t>
  </si>
  <si>
    <t>T639 EAF</t>
  </si>
  <si>
    <t>T237 ELV</t>
  </si>
  <si>
    <t>T532 DRF</t>
  </si>
  <si>
    <t>T457 EAG</t>
  </si>
  <si>
    <t>T133 EFP</t>
  </si>
  <si>
    <t>T972 DVK</t>
  </si>
  <si>
    <t>T522 DPN</t>
  </si>
  <si>
    <t>T546 DRF</t>
  </si>
  <si>
    <t>T497 EEQ</t>
  </si>
  <si>
    <t>T682 ENG</t>
  </si>
  <si>
    <t>T678 ENG</t>
  </si>
  <si>
    <t>T617 ENG</t>
  </si>
  <si>
    <t>T683 ENG</t>
  </si>
  <si>
    <t>T615 ENG</t>
  </si>
  <si>
    <t>T679 ENG</t>
  </si>
  <si>
    <t>T685 ENG</t>
  </si>
  <si>
    <t>T680 ENG</t>
  </si>
  <si>
    <t>Lpo No. 2099</t>
  </si>
  <si>
    <t>Lpo No. 2100</t>
  </si>
  <si>
    <t>Lpo No. 2101</t>
  </si>
  <si>
    <t>Lpo No. 2102</t>
  </si>
  <si>
    <t>T528 DRF</t>
  </si>
  <si>
    <t>Lpo No. 2103</t>
  </si>
  <si>
    <t>T568 EAF</t>
  </si>
  <si>
    <t>MBEYA</t>
  </si>
  <si>
    <t>Lpo No. 2104</t>
  </si>
  <si>
    <t>Date : 23.10.2025</t>
  </si>
  <si>
    <t>T842 EKS</t>
  </si>
  <si>
    <t>Lusaka</t>
  </si>
  <si>
    <t>T608 EDD</t>
  </si>
  <si>
    <t>Office</t>
  </si>
  <si>
    <t>T834 DYX</t>
  </si>
  <si>
    <t>Lpo No. 2105</t>
  </si>
  <si>
    <t>Lpo No. 2106</t>
  </si>
  <si>
    <t>Lpo No. 2107</t>
  </si>
  <si>
    <t>T657 ECQ</t>
  </si>
  <si>
    <t>T478 EKZ</t>
  </si>
  <si>
    <t>T158 DZY</t>
  </si>
  <si>
    <t>T807 EEU</t>
  </si>
  <si>
    <t>T686 ENG</t>
  </si>
  <si>
    <t>T591 DRE</t>
  </si>
  <si>
    <t>T533 DRF</t>
  </si>
  <si>
    <t>T704 DXY</t>
  </si>
  <si>
    <t>T614 EDD</t>
  </si>
  <si>
    <t>T139 DZY</t>
  </si>
  <si>
    <t>T706 DXY</t>
  </si>
  <si>
    <t>T210 EHE</t>
  </si>
  <si>
    <t>T658 ECQ</t>
  </si>
  <si>
    <t>T833 EKS</t>
  </si>
  <si>
    <t>T220 ELV</t>
  </si>
  <si>
    <t>T702 EHJ</t>
  </si>
  <si>
    <t>T218 ELV</t>
  </si>
  <si>
    <t>T240 ELV</t>
  </si>
  <si>
    <t>T534 EEQ</t>
  </si>
  <si>
    <t>T165 EGJ</t>
  </si>
  <si>
    <t>T483 EEQ</t>
  </si>
  <si>
    <t>T582 DTB</t>
  </si>
  <si>
    <t>T117 DVL</t>
  </si>
  <si>
    <t>T581 DRE</t>
  </si>
  <si>
    <t>Lpo No. 2108</t>
  </si>
  <si>
    <t>Lpo No. 2109</t>
  </si>
  <si>
    <t>Lpo No. 2110</t>
  </si>
  <si>
    <t>Lpo No. 2111</t>
  </si>
  <si>
    <t>Lpo No. 2112</t>
  </si>
  <si>
    <t>Lpo No. 2113</t>
  </si>
  <si>
    <t>Lpo No. 2114</t>
  </si>
  <si>
    <t>Date : 24.10.2025</t>
  </si>
  <si>
    <t>Lpo No. 2115</t>
  </si>
  <si>
    <t>Lpo No. 2116</t>
  </si>
  <si>
    <t>Lpo No. 2117</t>
  </si>
  <si>
    <t>Lpo No. 2118</t>
  </si>
  <si>
    <t>Lpo No. 2119</t>
  </si>
  <si>
    <t>Date : 25.10.2025</t>
  </si>
  <si>
    <t>T455 EAG</t>
  </si>
  <si>
    <t>T551 DPN</t>
  </si>
  <si>
    <t>Lpo No. 2120</t>
  </si>
  <si>
    <t>T654 ECQ</t>
  </si>
  <si>
    <t>T239 ELV</t>
  </si>
  <si>
    <t>T863 EKS</t>
  </si>
  <si>
    <t>T651 DRE</t>
  </si>
  <si>
    <t>T514 EGD</t>
  </si>
  <si>
    <t>T103 DVL</t>
  </si>
  <si>
    <t>T821 DNH</t>
  </si>
  <si>
    <t>Lpo No. 2121</t>
  </si>
  <si>
    <t>Lpo No. 2122</t>
  </si>
  <si>
    <t>T610 EDD</t>
  </si>
  <si>
    <t>T492 EEQ</t>
  </si>
  <si>
    <t>Lpo No. 2123</t>
  </si>
  <si>
    <t>Lpo No. 2124</t>
  </si>
  <si>
    <t>Lpo No. 2125</t>
  </si>
  <si>
    <t>Lpo No. 2126</t>
  </si>
  <si>
    <t>Date : 26.10.2025</t>
  </si>
  <si>
    <t>T661 ECQ</t>
  </si>
  <si>
    <t>Lpo No. 2127</t>
  </si>
  <si>
    <t>Date : 27.10.2025</t>
  </si>
  <si>
    <t>T662 ECQ</t>
  </si>
  <si>
    <t>T509 EEQ</t>
  </si>
  <si>
    <t>T582 DRE</t>
  </si>
  <si>
    <t>Lpo No. 2128</t>
  </si>
  <si>
    <t>Lpo No. 2129</t>
  </si>
  <si>
    <t>Lpo No. 2130</t>
  </si>
  <si>
    <t>Date : 28.10.2025</t>
  </si>
  <si>
    <t>Lpo No. 2131</t>
  </si>
  <si>
    <t>T540 DRF</t>
  </si>
  <si>
    <t>T518 EEQ</t>
  </si>
  <si>
    <t>Lpo No. 2132</t>
  </si>
  <si>
    <t>Lpo No. 2133</t>
  </si>
  <si>
    <t>Lpo No. 2134</t>
  </si>
  <si>
    <t>Lpo No. 2135</t>
  </si>
  <si>
    <t>Station : LAKE SERENJE</t>
  </si>
  <si>
    <t>Lpo No. 2136</t>
  </si>
  <si>
    <t>Lpo No. 2137</t>
  </si>
  <si>
    <t>T839 DNH</t>
  </si>
  <si>
    <t>Lpo No. 2138</t>
  </si>
  <si>
    <t>Date : 29.10.2025</t>
  </si>
  <si>
    <t>Lpo No. 2139</t>
  </si>
  <si>
    <t>Lpo No. 2140</t>
  </si>
  <si>
    <t>Lpo No. 2141</t>
  </si>
  <si>
    <t>T539 EKT</t>
  </si>
  <si>
    <t>T688 EAQ</t>
  </si>
  <si>
    <t>T124 DYY</t>
  </si>
  <si>
    <t>T858 EKS</t>
  </si>
  <si>
    <t>T470 EKZ</t>
  </si>
  <si>
    <t>T845 EKS</t>
  </si>
  <si>
    <t>T717 EHJ</t>
  </si>
  <si>
    <t>T613 EDD</t>
  </si>
  <si>
    <t>T528 EEQ</t>
  </si>
  <si>
    <t>T486 EEQ</t>
  </si>
  <si>
    <t>T206 EHE</t>
  </si>
  <si>
    <t>T684 EAQ</t>
  </si>
  <si>
    <t>T644 EAF</t>
  </si>
  <si>
    <t>T454 EAG</t>
  </si>
  <si>
    <t>T484 EEQ</t>
  </si>
  <si>
    <t>T130 EFP</t>
  </si>
  <si>
    <t>T775 DWK</t>
  </si>
  <si>
    <t>T824 DNY</t>
  </si>
  <si>
    <t>T525 DPN</t>
  </si>
  <si>
    <t>T703 EHJ</t>
  </si>
  <si>
    <t>Lpo No. 2142</t>
  </si>
  <si>
    <t>Lpo No. 2143</t>
  </si>
  <si>
    <t>Lpo No. 2144</t>
  </si>
  <si>
    <t>Lpo No. 2145</t>
  </si>
  <si>
    <t>lubumbashi</t>
  </si>
  <si>
    <t>Lpo No. 2146</t>
  </si>
  <si>
    <t>Date : 30.10.2025</t>
  </si>
  <si>
    <t>Station : LAKE CHILILABOMBWE</t>
  </si>
  <si>
    <t>T990 EFN</t>
  </si>
  <si>
    <t>DAR</t>
  </si>
  <si>
    <t>Lpo No. 2147</t>
  </si>
  <si>
    <t>Date : 31.10.2025</t>
  </si>
  <si>
    <t xml:space="preserve">T705 EHJ  </t>
  </si>
  <si>
    <t xml:space="preserve">T660 ECQ  </t>
  </si>
  <si>
    <t xml:space="preserve">T148 EGJ  </t>
  </si>
  <si>
    <t xml:space="preserve">T708 EET  </t>
  </si>
  <si>
    <t xml:space="preserve">T988 EFN  </t>
  </si>
  <si>
    <t xml:space="preserve">T847 EKS  </t>
  </si>
  <si>
    <t xml:space="preserve">T838 EKS  </t>
  </si>
  <si>
    <t xml:space="preserve">T208 EHE  </t>
  </si>
  <si>
    <t xml:space="preserve">T861 EKS  </t>
  </si>
  <si>
    <t xml:space="preserve">T469 EKZ  </t>
  </si>
  <si>
    <t xml:space="preserve">T554 EKT  </t>
  </si>
  <si>
    <t xml:space="preserve">T984 EFN  </t>
  </si>
  <si>
    <t xml:space="preserve">T533 EGD  </t>
  </si>
  <si>
    <t xml:space="preserve">T637 EAF  </t>
  </si>
  <si>
    <t xml:space="preserve">T562 EAF  </t>
  </si>
  <si>
    <t xml:space="preserve">T764 DNH  </t>
  </si>
  <si>
    <t xml:space="preserve">T151 EFP  </t>
  </si>
  <si>
    <t xml:space="preserve">T167 EGJ  </t>
  </si>
  <si>
    <t xml:space="preserve">T601 EDD  </t>
  </si>
  <si>
    <t>Lpo No. 2148</t>
  </si>
  <si>
    <t>Lpo No. 2149</t>
  </si>
  <si>
    <t>Lpo No. 2150</t>
  </si>
  <si>
    <t>Date : 1.11.2025</t>
  </si>
  <si>
    <t>Lpo No. 2151</t>
  </si>
  <si>
    <t>T148 EGJ</t>
  </si>
  <si>
    <t>Lpo No. 2152</t>
  </si>
  <si>
    <t>Date : 2.11.2025</t>
  </si>
  <si>
    <t>T984 EFN</t>
  </si>
  <si>
    <t>T469 EKZ</t>
  </si>
  <si>
    <t>T533 EGD</t>
  </si>
  <si>
    <t>T554 EKT</t>
  </si>
  <si>
    <t>Lpo No. 2153</t>
  </si>
  <si>
    <t>T546 EKT</t>
  </si>
  <si>
    <t>Lpo No. 2154</t>
  </si>
  <si>
    <t>Date : 3.11.2025</t>
  </si>
  <si>
    <t>Lpo No. 2155</t>
  </si>
  <si>
    <t>Lpo No. 2156</t>
  </si>
  <si>
    <t>T458 EKZ</t>
  </si>
  <si>
    <t>MSA</t>
  </si>
  <si>
    <t>T841 EKS</t>
  </si>
  <si>
    <t>T201 EHE</t>
  </si>
  <si>
    <t>T991 EFN</t>
  </si>
  <si>
    <t>T241 ELV</t>
  </si>
  <si>
    <t>T978 DVK</t>
  </si>
  <si>
    <t>T779 DWK</t>
  </si>
  <si>
    <t>T538 EKT</t>
  </si>
  <si>
    <t>T676 EAQ</t>
  </si>
  <si>
    <t>T852 EKS</t>
  </si>
  <si>
    <t>T767 DWK</t>
  </si>
  <si>
    <t>T219 ELV</t>
  </si>
  <si>
    <t>T213 EVL</t>
  </si>
  <si>
    <t>T221 ELV</t>
  </si>
  <si>
    <t>T213 EHE</t>
  </si>
  <si>
    <t>T543 EKT</t>
  </si>
  <si>
    <t>T653 ECQ</t>
  </si>
  <si>
    <t>T577 EAF</t>
  </si>
  <si>
    <t>T708 DXY</t>
  </si>
  <si>
    <t>T468 EKZ</t>
  </si>
  <si>
    <t>T986 EFN</t>
  </si>
  <si>
    <t>T477 EKZ</t>
  </si>
  <si>
    <t>T198 EHE</t>
  </si>
  <si>
    <t>T589 DTB</t>
  </si>
  <si>
    <t>Lpo No. 2157</t>
  </si>
  <si>
    <t>Lpo No. 2158</t>
  </si>
  <si>
    <t>Lpo No. 2159</t>
  </si>
  <si>
    <t>Lpo No. 2160</t>
  </si>
  <si>
    <t>Lpo No. 2161</t>
  </si>
  <si>
    <t>Lpo No. 2162</t>
  </si>
  <si>
    <t>Date : 4.11.2025</t>
  </si>
  <si>
    <t>Lpo No. 2163</t>
  </si>
  <si>
    <t>T660 ECQ</t>
  </si>
  <si>
    <t>T988 EFN</t>
  </si>
  <si>
    <t>T838 EKS</t>
  </si>
  <si>
    <t xml:space="preserve">T208 EHE </t>
  </si>
  <si>
    <t>T705 EHJ</t>
  </si>
  <si>
    <t>Lpo No. 2164</t>
  </si>
  <si>
    <t>Lpo No. 2165</t>
  </si>
  <si>
    <t>Lpo No. 2167</t>
  </si>
  <si>
    <t>Date : 5.11.2025</t>
  </si>
  <si>
    <t>LIKASI</t>
  </si>
  <si>
    <t>LUBUMBASHI</t>
  </si>
  <si>
    <t>LAMIKAL</t>
  </si>
  <si>
    <t>KOLWEZI</t>
  </si>
  <si>
    <t>KAMOA</t>
  </si>
  <si>
    <t>Lpo No. 2168</t>
  </si>
  <si>
    <t>Lpo No. 2169</t>
  </si>
  <si>
    <t>Lpo No. 2170</t>
  </si>
  <si>
    <t>Lpo No. 2171</t>
  </si>
  <si>
    <t>T562 EAF</t>
  </si>
  <si>
    <t>T637 EAF</t>
  </si>
  <si>
    <t>Lpo No. 2172</t>
  </si>
  <si>
    <t>Lpo No. 2173</t>
  </si>
  <si>
    <t>Lpo No. 2174</t>
  </si>
  <si>
    <t>Lpo No. 2175</t>
  </si>
  <si>
    <t>COMMUS</t>
  </si>
  <si>
    <t>Lpo No. 2176</t>
  </si>
  <si>
    <t>Station : LAKE KITWE</t>
  </si>
  <si>
    <t>T659 ECQ</t>
  </si>
  <si>
    <t>Lpo No. 2177</t>
  </si>
  <si>
    <t>Date : 6.11.2025</t>
  </si>
  <si>
    <t>Lpo No. 2178</t>
  </si>
  <si>
    <t>Lpo No. 2179</t>
  </si>
  <si>
    <t>Station : INFINTIY</t>
  </si>
  <si>
    <t>Lpo No. 2180</t>
  </si>
  <si>
    <t>Lpo No. 2181</t>
  </si>
  <si>
    <t>Lpo No. 2182</t>
  </si>
  <si>
    <t>Lpo No. 2183</t>
  </si>
  <si>
    <t>T112 DVL</t>
  </si>
  <si>
    <t>T772 DWK</t>
  </si>
  <si>
    <t>T166 DZY</t>
  </si>
  <si>
    <t>T656 ECQ</t>
  </si>
  <si>
    <t>Lpo No. 2184</t>
  </si>
  <si>
    <t>Lpo No. 2185</t>
  </si>
  <si>
    <t>Lpo No. 2186</t>
  </si>
  <si>
    <t xml:space="preserve">T218 EHE </t>
  </si>
  <si>
    <t>Lpo No. 2187</t>
  </si>
  <si>
    <t>Lpo No. 2188</t>
  </si>
  <si>
    <t>T151 EFP</t>
  </si>
  <si>
    <t>T167 EGJ</t>
  </si>
  <si>
    <t>Lpo No. 2189</t>
  </si>
  <si>
    <t>Lpo No. 2190</t>
  </si>
  <si>
    <t>Lpo No. 2191</t>
  </si>
  <si>
    <t xml:space="preserve">Station : GBP MOROGORO </t>
  </si>
  <si>
    <t>Lpo No. 2192</t>
  </si>
  <si>
    <t xml:space="preserve">Station : GBP KANGE </t>
  </si>
  <si>
    <t>Lpo No. 2193</t>
  </si>
  <si>
    <t>Date : 7.11.2025</t>
  </si>
  <si>
    <t>Lpo No. 2194</t>
  </si>
  <si>
    <t xml:space="preserve">Station : LAKE NDOLA </t>
  </si>
  <si>
    <t>T894 EEU</t>
  </si>
  <si>
    <t>T660 EAQ</t>
  </si>
  <si>
    <t>T456 EAG</t>
  </si>
  <si>
    <t>Lpo No. 2195</t>
  </si>
  <si>
    <t>Lpo No. 2196</t>
  </si>
  <si>
    <t>Lpo No. 2197</t>
  </si>
  <si>
    <t>Lpo No. 2198</t>
  </si>
  <si>
    <t>Lpo No. 2199</t>
  </si>
  <si>
    <t>Lpo No. 2200</t>
  </si>
  <si>
    <t>T680 ENG</t>
  </si>
  <si>
    <t>Lpo No. 2201</t>
  </si>
  <si>
    <t>Lpo No. 2202</t>
  </si>
  <si>
    <t>Lpo No. 2203</t>
  </si>
  <si>
    <t>Lpo No. 2204</t>
  </si>
  <si>
    <t>KALONGWE</t>
  </si>
  <si>
    <t>Lpo No. 2205</t>
  </si>
  <si>
    <t>dar</t>
  </si>
  <si>
    <t>Lpo No. 2206</t>
  </si>
  <si>
    <t>T708 EET</t>
  </si>
  <si>
    <t>Lpo No. 2207</t>
  </si>
  <si>
    <t>Lpo No. 2208</t>
  </si>
  <si>
    <t>Lpo No. 2209</t>
  </si>
  <si>
    <t>Lpo No. 2210</t>
  </si>
  <si>
    <t>T522 DRF</t>
  </si>
  <si>
    <t>LUSAKA</t>
  </si>
  <si>
    <t>TCC</t>
  </si>
  <si>
    <t>Lpo No. 2211</t>
  </si>
  <si>
    <t>Lpo No. 2212</t>
  </si>
  <si>
    <t>Lpo No. 2213</t>
  </si>
  <si>
    <t>Lpo No. 2214</t>
  </si>
  <si>
    <t>Lpo No. 2215</t>
  </si>
  <si>
    <t>Date : 8.11.2025</t>
  </si>
  <si>
    <t>Lpo No. 2216</t>
  </si>
  <si>
    <t>Lpo No. 2217</t>
  </si>
  <si>
    <t xml:space="preserve">Station : LAKE KAPIRI </t>
  </si>
  <si>
    <t>KPM</t>
  </si>
  <si>
    <t>Lpo No. 2218</t>
  </si>
  <si>
    <t xml:space="preserve">Station : LAKE TUNDUMA </t>
  </si>
  <si>
    <t xml:space="preserve">T703 EHJ </t>
  </si>
  <si>
    <t>Lpo No. 2219</t>
  </si>
  <si>
    <t>Lpo No. 2220</t>
  </si>
  <si>
    <t>Lpo No. 2221</t>
  </si>
  <si>
    <t>Lpo No. 2222</t>
  </si>
  <si>
    <t>Lpo No. 2223</t>
  </si>
  <si>
    <t>T671 ECQ</t>
  </si>
  <si>
    <t>Lpo No. 2224</t>
  </si>
  <si>
    <t>Lpo No. 2225</t>
  </si>
  <si>
    <t>Lpo No. 2226</t>
  </si>
  <si>
    <t>Lpo No. 2227</t>
  </si>
  <si>
    <t>Station : LAKE KABANGWA</t>
  </si>
  <si>
    <t>Lpo No. 2228</t>
  </si>
  <si>
    <t>Lpo No. 2229</t>
  </si>
  <si>
    <t>Lpo No. 2230</t>
  </si>
  <si>
    <t>Lpo No. 2231</t>
  </si>
  <si>
    <t>Date : 9.11.2025</t>
  </si>
  <si>
    <t xml:space="preserve">T788 DWK </t>
  </si>
  <si>
    <t>Lpo No. 2232</t>
  </si>
  <si>
    <t>Lpo No. 2233</t>
  </si>
  <si>
    <t>T861 EKS</t>
  </si>
  <si>
    <t>Lpo No. 2234</t>
  </si>
  <si>
    <t xml:space="preserve">T102 EFP </t>
  </si>
  <si>
    <t>kolwezi</t>
  </si>
  <si>
    <t>Lpo No. 2235</t>
  </si>
  <si>
    <t>Lpo No. 2236</t>
  </si>
  <si>
    <t>Lpo No. 2237</t>
  </si>
  <si>
    <t>Lpo No. 2238</t>
  </si>
  <si>
    <t>Lpo No. 2239</t>
  </si>
  <si>
    <t>Lpo No. 2240</t>
  </si>
  <si>
    <t>Lpo No. 2241</t>
  </si>
  <si>
    <t>Station :  INFINITY</t>
  </si>
  <si>
    <t>Lpo No. 2242</t>
  </si>
  <si>
    <t>Station :  LAKE TUNDUMA</t>
  </si>
  <si>
    <t>T847 EKS</t>
  </si>
  <si>
    <t>Lpo No. 2243</t>
  </si>
  <si>
    <t>T589 DRE</t>
  </si>
  <si>
    <t>Lpo No. 2244</t>
  </si>
  <si>
    <t>Station :  LAKE CHILABOMBWE</t>
  </si>
  <si>
    <t>T599 EDD</t>
  </si>
  <si>
    <t>Lpo No. 2245</t>
  </si>
  <si>
    <t>Station :  LAKE KAPIRI</t>
  </si>
  <si>
    <t>Lpo No. 2246</t>
  </si>
  <si>
    <t>Lpo No. 2247</t>
  </si>
  <si>
    <t>Lpo No. 2248</t>
  </si>
  <si>
    <t>Lpo No. 2249</t>
  </si>
  <si>
    <t>Lpo No. 2250</t>
  </si>
  <si>
    <t>Lpo No. 2251</t>
  </si>
  <si>
    <t>Lpo No. 2252</t>
  </si>
  <si>
    <t xml:space="preserve">Station :  LAKE TUNDUMA </t>
  </si>
  <si>
    <t xml:space="preserve">T546EKT </t>
  </si>
  <si>
    <t>Lpo No. 2253</t>
  </si>
  <si>
    <t>Lpo No. 2254</t>
  </si>
  <si>
    <t>Station :  LAKE NDOLA</t>
  </si>
  <si>
    <t>Lpo No. 2255</t>
  </si>
  <si>
    <t>Lpo No. 2256</t>
  </si>
  <si>
    <t>Date : 10.11.2025</t>
  </si>
  <si>
    <t>Lpo No. 2257</t>
  </si>
  <si>
    <t>Lpo No. 2258</t>
  </si>
  <si>
    <t xml:space="preserve">Station :  LAKE NDOLA </t>
  </si>
  <si>
    <t>T599 EDD</t>
  </si>
  <si>
    <t>T768 DWK</t>
  </si>
  <si>
    <t>T780 DWK</t>
  </si>
  <si>
    <t>T524 DRF</t>
  </si>
  <si>
    <t>T831 EKS</t>
  </si>
  <si>
    <t>T976 DVK</t>
  </si>
  <si>
    <t>Lpo No. 2259</t>
  </si>
  <si>
    <t>Lpo No. 2260</t>
  </si>
  <si>
    <t>Lpo No. 2261</t>
  </si>
  <si>
    <t>T587 DRE</t>
  </si>
  <si>
    <t>Lpo No. 2262</t>
  </si>
  <si>
    <t>Lpo No. 2263</t>
  </si>
  <si>
    <t>Lpo No. 2264</t>
  </si>
  <si>
    <t>Lpo No. 2265</t>
  </si>
  <si>
    <t>Lpo No. 2266</t>
  </si>
  <si>
    <t>Lpo No. 2267</t>
  </si>
  <si>
    <t>Lpo No. 2268</t>
  </si>
  <si>
    <t>Station :  CASH</t>
  </si>
  <si>
    <t>Lpo No. 2269</t>
  </si>
  <si>
    <t>Lpo No. 2270</t>
  </si>
  <si>
    <t>Lpo No. 2271</t>
  </si>
  <si>
    <t>Lpo No. 2272</t>
  </si>
  <si>
    <t>Lpo No. 2273</t>
  </si>
  <si>
    <t>T529 DRF</t>
  </si>
  <si>
    <t>T460 EAG</t>
  </si>
  <si>
    <t>T970 DVK</t>
  </si>
  <si>
    <t>T521 EEQ</t>
  </si>
  <si>
    <t>T135 EFP</t>
  </si>
  <si>
    <t>T474 EKZ</t>
  </si>
  <si>
    <t>T152 DZY</t>
  </si>
  <si>
    <t>T523 EEQ</t>
  </si>
  <si>
    <t>Lpo No. 2274</t>
  </si>
  <si>
    <t>Lpo No. 2275</t>
  </si>
  <si>
    <t xml:space="preserve">NIL </t>
  </si>
  <si>
    <t>Lpo No. 2276</t>
  </si>
  <si>
    <t>Date : 11.11.2025</t>
  </si>
  <si>
    <t>Lpo No. 2277</t>
  </si>
  <si>
    <t>T122 DVL</t>
  </si>
  <si>
    <t>Lpo No. 2278</t>
  </si>
  <si>
    <t>Lpo No. 2279</t>
  </si>
  <si>
    <t>Lpo No. 2280</t>
  </si>
  <si>
    <t>Station :  GBP MOROGORO</t>
  </si>
  <si>
    <t>Lpo No. 2281</t>
  </si>
  <si>
    <t>Station :  GBP KANGE</t>
  </si>
  <si>
    <t>Lpo No. 2282</t>
  </si>
  <si>
    <t>T213 ELV</t>
  </si>
  <si>
    <t>Lpo No. 2283</t>
  </si>
  <si>
    <t>Lpo No. 2284</t>
  </si>
  <si>
    <t>Lpo No. 2285</t>
  </si>
  <si>
    <t>Lpo No. 2286</t>
  </si>
  <si>
    <t>Lpo No. 2287</t>
  </si>
  <si>
    <t>T715 EET</t>
  </si>
  <si>
    <t xml:space="preserve">MSA </t>
  </si>
  <si>
    <t>T502 EEQ</t>
  </si>
  <si>
    <t>Lpo No. 2288</t>
  </si>
  <si>
    <t>Lpo No. 2289</t>
  </si>
  <si>
    <t>Lpo No. 2290</t>
  </si>
  <si>
    <t>Lpo No. 2291</t>
  </si>
  <si>
    <t>Lpo No. 2292</t>
  </si>
  <si>
    <t>Lpo No. 2293</t>
  </si>
  <si>
    <t>Date : 12.11.2025</t>
  </si>
  <si>
    <t>Lpo No. 2294</t>
  </si>
  <si>
    <t>Lpo No. 2295</t>
  </si>
  <si>
    <t>Lpo No. 2296</t>
  </si>
  <si>
    <t>Lpo No. 2297</t>
  </si>
  <si>
    <t>Lpo No. 2298</t>
  </si>
  <si>
    <t>Lpo No. 2299</t>
  </si>
  <si>
    <t>Lpo No. 2300</t>
  </si>
  <si>
    <t>Lpo No. 2301</t>
  </si>
  <si>
    <t>Lpo No. 2302</t>
  </si>
  <si>
    <t>Lpo No. 2303</t>
  </si>
  <si>
    <t>Lpo No. 2304</t>
  </si>
  <si>
    <t>Lpo No. 2305</t>
  </si>
  <si>
    <t xml:space="preserve">T486 EEQ </t>
  </si>
  <si>
    <t>Lpo No. 2306</t>
  </si>
  <si>
    <t>Lpo No. 2307</t>
  </si>
  <si>
    <t>Lpo No. 2308</t>
  </si>
  <si>
    <t>Date : 13.11.2025</t>
  </si>
  <si>
    <t>Lpo No. 2309</t>
  </si>
  <si>
    <t>T546 DRE</t>
  </si>
  <si>
    <t>Lpo No. 2310</t>
  </si>
  <si>
    <t>Lpo No. 2311</t>
  </si>
  <si>
    <t xml:space="preserve">T554 DRE </t>
  </si>
  <si>
    <t>Lpo No. 2312</t>
  </si>
  <si>
    <t>T764 DNH</t>
  </si>
  <si>
    <t>Lpo No. 2313</t>
  </si>
  <si>
    <t>Lpo No. 2314</t>
  </si>
  <si>
    <t xml:space="preserve">T533 EGD </t>
  </si>
  <si>
    <t>Lpo No. 2315</t>
  </si>
  <si>
    <t>Lpo No. 2316</t>
  </si>
  <si>
    <t>Lpo No. 2317</t>
  </si>
  <si>
    <t>T638 EAF</t>
  </si>
  <si>
    <t>Lpo No. 2318</t>
  </si>
  <si>
    <t>Lpo No. 2319</t>
  </si>
  <si>
    <t>T217 EHE</t>
  </si>
  <si>
    <t>Lpo No. 2320</t>
  </si>
  <si>
    <t>Lpo No. 2321</t>
  </si>
  <si>
    <t>Lpo No. 2322</t>
  </si>
  <si>
    <t>Lpo No. 2323</t>
  </si>
  <si>
    <t>Lpo No. 2324</t>
  </si>
  <si>
    <t>Station :  LAKE CHINGOLA</t>
  </si>
  <si>
    <t>Lpo No. 2325</t>
  </si>
  <si>
    <t>Date : 14.11.2025</t>
  </si>
  <si>
    <t>Lpo No. 2326</t>
  </si>
  <si>
    <t>Lpo No. 2327</t>
  </si>
  <si>
    <t>Lpo No. 2328</t>
  </si>
  <si>
    <t>Lpo No. 2329</t>
  </si>
  <si>
    <t>Lpo No. 2330</t>
  </si>
  <si>
    <t>Lpo No. 2331</t>
  </si>
  <si>
    <t>Lpo No. 2332</t>
  </si>
  <si>
    <t>T542 DRF</t>
  </si>
  <si>
    <t>Lpo No. 2333</t>
  </si>
  <si>
    <t>Lpo No. 2334</t>
  </si>
  <si>
    <t>Lpo No. 2335</t>
  </si>
  <si>
    <t>Lpo No. 2336</t>
  </si>
  <si>
    <t>T660 EEQ</t>
  </si>
  <si>
    <t>T 707 DXY</t>
  </si>
  <si>
    <t>T 146 EFP</t>
  </si>
  <si>
    <t>T 167 DZY</t>
  </si>
  <si>
    <t>T 535 EGD</t>
  </si>
  <si>
    <t>T 696 DXY</t>
  </si>
  <si>
    <t>Lpo No. 2337</t>
  </si>
  <si>
    <t>Lpo No. 2338</t>
  </si>
  <si>
    <t>Lpo No. 2339</t>
  </si>
  <si>
    <t>Lpo No. 2340</t>
  </si>
  <si>
    <t>Date : 15.11.2025</t>
  </si>
  <si>
    <t>Lpo No. 2341</t>
  </si>
  <si>
    <t>Lpo No. 2342</t>
  </si>
  <si>
    <t>Lpo No. 2343</t>
  </si>
  <si>
    <t>Lpo No. 2344</t>
  </si>
  <si>
    <t>T513 EEF</t>
  </si>
  <si>
    <t>Lpo No. 2345</t>
  </si>
  <si>
    <t>Lpo No. 2346</t>
  </si>
  <si>
    <t>Date : 16.11.2025</t>
  </si>
  <si>
    <t>Lpo No. 2347</t>
  </si>
  <si>
    <t>Lpo No. 2348</t>
  </si>
  <si>
    <t>Lpo No. 2349</t>
  </si>
  <si>
    <t>Lpo No. 2350</t>
  </si>
  <si>
    <t>Date : 17.11.2025</t>
  </si>
  <si>
    <t xml:space="preserve">T580 DPN </t>
  </si>
  <si>
    <t>Lpo No. 2351</t>
  </si>
  <si>
    <t>Lpo No. 2352</t>
  </si>
  <si>
    <t>Lpo No. 2353</t>
  </si>
  <si>
    <t>Lpo No. 2354</t>
  </si>
  <si>
    <t xml:space="preserve">T765 DWK </t>
  </si>
  <si>
    <t>Lpo No. 2355</t>
  </si>
  <si>
    <t>T593 DTB</t>
  </si>
  <si>
    <t>Lpo No. 2356</t>
  </si>
  <si>
    <t>Lpo No. 2357</t>
  </si>
  <si>
    <t>Lpo No. 2358</t>
  </si>
  <si>
    <t xml:space="preserve">T525 DPN </t>
  </si>
  <si>
    <t>Lpo No. 2359</t>
  </si>
  <si>
    <t>T568 DAF</t>
  </si>
  <si>
    <t>Lpo No. 2360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</si>
</sst>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178" formatCode="&quot;$&quot;#,##0.00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22"/>
      <color theme="1"/>
      <name val="Bradley Hand ITC"/>
      <charset val="134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22" fillId="27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0" fillId="35" borderId="19" applyNumberFormat="0" applyFont="0" applyAlignment="0" applyProtection="0">
      <alignment vertical="center"/>
    </xf>
    <xf numFmtId="0" fontId="24" fillId="32" borderId="1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27" borderId="18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13" borderId="16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ill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0" xfId="0" applyFill="1" applyBorder="1"/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4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0" fillId="0" borderId="0" xfId="0" applyFill="1" applyBorder="1" applyAlignment="1"/>
    <xf numFmtId="0" fontId="0" fillId="0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78" fontId="0" fillId="0" borderId="0" xfId="0" applyNumberFormat="1"/>
    <xf numFmtId="178" fontId="0" fillId="0" borderId="1" xfId="0" applyNumberFormat="1" applyBorder="1" applyAlignment="1">
      <alignment horizontal="center"/>
    </xf>
    <xf numFmtId="178" fontId="0" fillId="0" borderId="5" xfId="0" applyNumberFormat="1" applyBorder="1" applyAlignment="1">
      <alignment horizontal="center"/>
    </xf>
    <xf numFmtId="0" fontId="0" fillId="0" borderId="11" xfId="0" applyBorder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2" Type="http://schemas.openxmlformats.org/officeDocument/2006/relationships/sharedStrings" Target="sharedStrings.xml"/><Relationship Id="rId381" Type="http://schemas.openxmlformats.org/officeDocument/2006/relationships/styles" Target="styles.xml"/><Relationship Id="rId380" Type="http://schemas.openxmlformats.org/officeDocument/2006/relationships/theme" Target="theme/theme1.xml"/><Relationship Id="rId38" Type="http://schemas.openxmlformats.org/officeDocument/2006/relationships/worksheet" Target="worksheets/sheet38.xml"/><Relationship Id="rId379" Type="http://schemas.openxmlformats.org/officeDocument/2006/relationships/worksheet" Target="worksheets/sheet379.xml"/><Relationship Id="rId378" Type="http://schemas.openxmlformats.org/officeDocument/2006/relationships/worksheet" Target="worksheets/sheet378.xml"/><Relationship Id="rId377" Type="http://schemas.openxmlformats.org/officeDocument/2006/relationships/worksheet" Target="worksheets/sheet377.xml"/><Relationship Id="rId376" Type="http://schemas.openxmlformats.org/officeDocument/2006/relationships/worksheet" Target="worksheets/sheet376.xml"/><Relationship Id="rId375" Type="http://schemas.openxmlformats.org/officeDocument/2006/relationships/worksheet" Target="worksheets/sheet375.xml"/><Relationship Id="rId374" Type="http://schemas.openxmlformats.org/officeDocument/2006/relationships/worksheet" Target="worksheets/sheet374.xml"/><Relationship Id="rId373" Type="http://schemas.openxmlformats.org/officeDocument/2006/relationships/worksheet" Target="worksheets/sheet373.xml"/><Relationship Id="rId372" Type="http://schemas.openxmlformats.org/officeDocument/2006/relationships/worksheet" Target="worksheets/sheet372.xml"/><Relationship Id="rId371" Type="http://schemas.openxmlformats.org/officeDocument/2006/relationships/worksheet" Target="worksheets/sheet371.xml"/><Relationship Id="rId370" Type="http://schemas.openxmlformats.org/officeDocument/2006/relationships/worksheet" Target="worksheets/sheet370.xml"/><Relationship Id="rId37" Type="http://schemas.openxmlformats.org/officeDocument/2006/relationships/worksheet" Target="worksheets/sheet37.xml"/><Relationship Id="rId369" Type="http://schemas.openxmlformats.org/officeDocument/2006/relationships/worksheet" Target="worksheets/sheet369.xml"/><Relationship Id="rId368" Type="http://schemas.openxmlformats.org/officeDocument/2006/relationships/worksheet" Target="worksheets/sheet368.xml"/><Relationship Id="rId367" Type="http://schemas.openxmlformats.org/officeDocument/2006/relationships/worksheet" Target="worksheets/sheet367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opLeftCell="U1" workbookViewId="0">
      <selection activeCell="F6" sqref="F6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</v>
      </c>
      <c r="B3" s="1"/>
      <c r="C3" s="1"/>
      <c r="D3" s="1" t="s">
        <v>2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6212</v>
      </c>
      <c r="B7" s="7" t="s">
        <v>12</v>
      </c>
      <c r="C7" s="7">
        <v>600</v>
      </c>
      <c r="D7" s="7">
        <v>1.1</v>
      </c>
      <c r="E7" s="51">
        <f>C7*D7</f>
        <v>660</v>
      </c>
      <c r="F7" s="7" t="s">
        <v>13</v>
      </c>
    </row>
    <row r="8" spans="1:6">
      <c r="A8" s="7">
        <v>5943</v>
      </c>
      <c r="B8" s="7" t="s">
        <v>14</v>
      </c>
      <c r="C8" s="7">
        <v>560</v>
      </c>
      <c r="D8" s="7">
        <v>1.1</v>
      </c>
      <c r="E8" s="51">
        <f t="shared" ref="E8:E10" si="0">C8*D8</f>
        <v>616</v>
      </c>
      <c r="F8" s="7" t="s">
        <v>13</v>
      </c>
    </row>
    <row r="9" spans="1:6">
      <c r="A9" s="7">
        <v>5926</v>
      </c>
      <c r="B9" s="7" t="s">
        <v>15</v>
      </c>
      <c r="C9" s="7">
        <v>560</v>
      </c>
      <c r="D9" s="7">
        <v>1.1</v>
      </c>
      <c r="E9" s="51">
        <f t="shared" si="0"/>
        <v>616</v>
      </c>
      <c r="F9" s="7" t="s">
        <v>13</v>
      </c>
    </row>
    <row r="10" spans="1:6">
      <c r="A10" s="7">
        <v>6171</v>
      </c>
      <c r="B10" s="7" t="s">
        <v>16</v>
      </c>
      <c r="C10" s="7">
        <v>350</v>
      </c>
      <c r="D10" s="7">
        <v>1.1</v>
      </c>
      <c r="E10" s="51">
        <f t="shared" si="0"/>
        <v>385</v>
      </c>
      <c r="F10" s="7" t="s">
        <v>17</v>
      </c>
    </row>
    <row r="11" spans="3:5">
      <c r="C11" s="7" t="s">
        <v>18</v>
      </c>
      <c r="D11" s="7"/>
      <c r="E11" s="51">
        <f>SUM(E7:E10)</f>
        <v>2277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7" workbookViewId="0">
      <selection activeCell="E21" sqref="E21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19</v>
      </c>
      <c r="B3" s="1"/>
      <c r="C3" s="1"/>
      <c r="D3" s="1" t="s">
        <v>2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5795</v>
      </c>
      <c r="B7" s="7" t="s">
        <v>21</v>
      </c>
      <c r="C7" s="7">
        <v>100</v>
      </c>
      <c r="D7" s="7">
        <v>2875</v>
      </c>
      <c r="E7" s="7">
        <f>C7*D7</f>
        <v>287500</v>
      </c>
      <c r="F7" s="7" t="s">
        <v>22</v>
      </c>
    </row>
    <row r="8" spans="1:6">
      <c r="A8" s="7">
        <v>6061</v>
      </c>
      <c r="B8" s="7" t="s">
        <v>23</v>
      </c>
      <c r="C8" s="7">
        <v>100</v>
      </c>
      <c r="D8" s="7">
        <v>2875</v>
      </c>
      <c r="E8" s="7">
        <f t="shared" ref="E8:E29" si="0">C8*D8</f>
        <v>287500</v>
      </c>
      <c r="F8" s="7" t="s">
        <v>22</v>
      </c>
    </row>
    <row r="9" spans="1:6">
      <c r="A9" s="7">
        <v>6058</v>
      </c>
      <c r="B9" s="7" t="s">
        <v>24</v>
      </c>
      <c r="C9" s="7">
        <v>100</v>
      </c>
      <c r="D9" s="7">
        <v>2875</v>
      </c>
      <c r="E9" s="7">
        <f t="shared" si="0"/>
        <v>287500</v>
      </c>
      <c r="F9" s="7" t="s">
        <v>22</v>
      </c>
    </row>
    <row r="10" spans="1:6">
      <c r="A10" s="7">
        <v>606</v>
      </c>
      <c r="B10" s="7" t="s">
        <v>25</v>
      </c>
      <c r="C10" s="7">
        <v>100</v>
      </c>
      <c r="D10" s="7">
        <v>2875</v>
      </c>
      <c r="E10" s="7">
        <f t="shared" si="0"/>
        <v>287500</v>
      </c>
      <c r="F10" s="7" t="s">
        <v>22</v>
      </c>
    </row>
    <row r="11" spans="1:6">
      <c r="A11" s="7">
        <v>6057</v>
      </c>
      <c r="B11" s="7" t="s">
        <v>26</v>
      </c>
      <c r="C11" s="7">
        <v>100</v>
      </c>
      <c r="D11" s="7">
        <v>2875</v>
      </c>
      <c r="E11" s="7">
        <f t="shared" si="0"/>
        <v>287500</v>
      </c>
      <c r="F11" s="7" t="s">
        <v>22</v>
      </c>
    </row>
    <row r="12" spans="1:6">
      <c r="A12" s="7">
        <v>6062</v>
      </c>
      <c r="B12" s="7" t="s">
        <v>27</v>
      </c>
      <c r="C12" s="7">
        <v>100</v>
      </c>
      <c r="D12" s="7">
        <v>2875</v>
      </c>
      <c r="E12" s="7">
        <f t="shared" si="0"/>
        <v>287500</v>
      </c>
      <c r="F12" s="7" t="s">
        <v>22</v>
      </c>
    </row>
    <row r="13" spans="1:6">
      <c r="A13" s="7">
        <v>6053</v>
      </c>
      <c r="B13" s="7" t="s">
        <v>28</v>
      </c>
      <c r="C13" s="7">
        <v>50</v>
      </c>
      <c r="D13" s="7">
        <v>2875</v>
      </c>
      <c r="E13" s="7">
        <f t="shared" si="0"/>
        <v>143750</v>
      </c>
      <c r="F13" s="7" t="s">
        <v>22</v>
      </c>
    </row>
    <row r="14" spans="1:6">
      <c r="A14" s="7">
        <v>6055</v>
      </c>
      <c r="B14" s="7" t="s">
        <v>29</v>
      </c>
      <c r="C14" s="7">
        <v>100</v>
      </c>
      <c r="D14" s="7">
        <v>2875</v>
      </c>
      <c r="E14" s="7">
        <f t="shared" si="0"/>
        <v>287500</v>
      </c>
      <c r="F14" s="7" t="s">
        <v>22</v>
      </c>
    </row>
    <row r="15" spans="1:6">
      <c r="A15" s="7">
        <v>6056</v>
      </c>
      <c r="B15" s="7" t="s">
        <v>30</v>
      </c>
      <c r="C15" s="7">
        <v>100</v>
      </c>
      <c r="D15" s="7">
        <v>2875</v>
      </c>
      <c r="E15" s="7">
        <f t="shared" si="0"/>
        <v>287500</v>
      </c>
      <c r="F15" s="7" t="s">
        <v>22</v>
      </c>
    </row>
    <row r="16" spans="1:6">
      <c r="A16" s="7">
        <v>6054</v>
      </c>
      <c r="B16" s="7" t="s">
        <v>31</v>
      </c>
      <c r="C16" s="7">
        <v>100</v>
      </c>
      <c r="D16" s="7">
        <v>2875</v>
      </c>
      <c r="E16" s="7">
        <f t="shared" si="0"/>
        <v>287500</v>
      </c>
      <c r="F16" s="7" t="s">
        <v>22</v>
      </c>
    </row>
    <row r="17" spans="1:6">
      <c r="A17" s="7">
        <v>6059</v>
      </c>
      <c r="B17" s="7" t="s">
        <v>32</v>
      </c>
      <c r="C17" s="7">
        <v>100</v>
      </c>
      <c r="D17" s="7">
        <v>2875</v>
      </c>
      <c r="E17" s="7">
        <f t="shared" si="0"/>
        <v>287500</v>
      </c>
      <c r="F17" s="7" t="s">
        <v>22</v>
      </c>
    </row>
    <row r="18" spans="1:6">
      <c r="A18" s="7">
        <v>6322</v>
      </c>
      <c r="B18" s="7" t="s">
        <v>33</v>
      </c>
      <c r="C18" s="7">
        <v>100</v>
      </c>
      <c r="D18" s="7">
        <v>2875</v>
      </c>
      <c r="E18" s="7">
        <f t="shared" si="0"/>
        <v>287500</v>
      </c>
      <c r="F18" s="7" t="s">
        <v>22</v>
      </c>
    </row>
    <row r="19" spans="1:6">
      <c r="A19" s="7">
        <v>6066</v>
      </c>
      <c r="B19" s="7" t="s">
        <v>34</v>
      </c>
      <c r="C19" s="7">
        <v>100</v>
      </c>
      <c r="D19" s="7">
        <v>2875</v>
      </c>
      <c r="E19" s="7">
        <f t="shared" si="0"/>
        <v>287500</v>
      </c>
      <c r="F19" s="7" t="s">
        <v>22</v>
      </c>
    </row>
    <row r="20" spans="1:6">
      <c r="A20" s="7">
        <v>6254</v>
      </c>
      <c r="B20" s="7" t="s">
        <v>35</v>
      </c>
      <c r="C20" s="7">
        <v>100</v>
      </c>
      <c r="D20" s="7">
        <v>2875</v>
      </c>
      <c r="E20" s="7">
        <f t="shared" si="0"/>
        <v>287500</v>
      </c>
      <c r="F20" s="7" t="s">
        <v>22</v>
      </c>
    </row>
    <row r="21" spans="1:6">
      <c r="A21" s="7">
        <v>6252</v>
      </c>
      <c r="B21" s="7" t="s">
        <v>36</v>
      </c>
      <c r="C21" s="7">
        <v>100</v>
      </c>
      <c r="D21" s="7">
        <v>2875</v>
      </c>
      <c r="E21" s="7">
        <f t="shared" si="0"/>
        <v>287500</v>
      </c>
      <c r="F21" s="7" t="s">
        <v>22</v>
      </c>
    </row>
    <row r="22" spans="1:6">
      <c r="A22" s="7">
        <v>6253</v>
      </c>
      <c r="B22" s="7" t="s">
        <v>37</v>
      </c>
      <c r="C22" s="7">
        <v>100</v>
      </c>
      <c r="D22" s="7">
        <v>2875</v>
      </c>
      <c r="E22" s="7">
        <f t="shared" si="0"/>
        <v>287500</v>
      </c>
      <c r="F22" s="7" t="s">
        <v>22</v>
      </c>
    </row>
    <row r="23" spans="1:6">
      <c r="A23" s="7">
        <v>6249</v>
      </c>
      <c r="B23" s="7" t="s">
        <v>38</v>
      </c>
      <c r="C23" s="7">
        <v>50</v>
      </c>
      <c r="D23" s="7">
        <v>2875</v>
      </c>
      <c r="E23" s="7">
        <f t="shared" si="0"/>
        <v>143750</v>
      </c>
      <c r="F23" s="7" t="s">
        <v>22</v>
      </c>
    </row>
    <row r="24" spans="1:6">
      <c r="A24" s="7">
        <v>6067</v>
      </c>
      <c r="B24" s="7" t="s">
        <v>39</v>
      </c>
      <c r="C24" s="7">
        <v>100</v>
      </c>
      <c r="D24" s="7">
        <v>2875</v>
      </c>
      <c r="E24" s="7">
        <f t="shared" si="0"/>
        <v>287500</v>
      </c>
      <c r="F24" s="7" t="s">
        <v>22</v>
      </c>
    </row>
    <row r="25" spans="1:6">
      <c r="A25" s="7">
        <v>6301</v>
      </c>
      <c r="B25" s="7" t="s">
        <v>40</v>
      </c>
      <c r="C25" s="7">
        <v>100</v>
      </c>
      <c r="D25" s="7">
        <v>2875</v>
      </c>
      <c r="E25" s="7">
        <f t="shared" si="0"/>
        <v>287500</v>
      </c>
      <c r="F25" s="7" t="s">
        <v>22</v>
      </c>
    </row>
    <row r="26" spans="1:6">
      <c r="A26" s="7">
        <v>6292</v>
      </c>
      <c r="B26" s="7" t="s">
        <v>41</v>
      </c>
      <c r="C26" s="7">
        <v>100</v>
      </c>
      <c r="D26" s="7">
        <v>2875</v>
      </c>
      <c r="E26" s="7">
        <f t="shared" si="0"/>
        <v>287500</v>
      </c>
      <c r="F26" s="7" t="s">
        <v>22</v>
      </c>
    </row>
    <row r="27" spans="1:6">
      <c r="A27" s="7">
        <v>6312</v>
      </c>
      <c r="B27" s="7" t="s">
        <v>42</v>
      </c>
      <c r="C27" s="7">
        <v>100</v>
      </c>
      <c r="D27" s="7">
        <v>2875</v>
      </c>
      <c r="E27" s="7">
        <f t="shared" si="0"/>
        <v>287500</v>
      </c>
      <c r="F27" s="7" t="s">
        <v>22</v>
      </c>
    </row>
    <row r="28" spans="1:6">
      <c r="A28" s="7">
        <v>6250</v>
      </c>
      <c r="B28" s="7" t="s">
        <v>43</v>
      </c>
      <c r="C28" s="7">
        <v>100</v>
      </c>
      <c r="D28" s="7">
        <v>2875</v>
      </c>
      <c r="E28" s="7">
        <f t="shared" si="0"/>
        <v>287500</v>
      </c>
      <c r="F28" s="7" t="s">
        <v>22</v>
      </c>
    </row>
    <row r="29" spans="1:6">
      <c r="A29" s="7">
        <v>6248</v>
      </c>
      <c r="B29" s="7" t="s">
        <v>44</v>
      </c>
      <c r="C29" s="7">
        <v>100</v>
      </c>
      <c r="D29" s="7">
        <v>2875</v>
      </c>
      <c r="E29" s="7">
        <f t="shared" si="0"/>
        <v>287500</v>
      </c>
      <c r="F29" s="7" t="s">
        <v>22</v>
      </c>
    </row>
    <row r="30" spans="1:6">
      <c r="A30" s="21"/>
      <c r="B30" s="21"/>
      <c r="C30" s="7" t="s">
        <v>18</v>
      </c>
      <c r="D30" s="7"/>
      <c r="E30" s="7">
        <f>SUM(E7:E29)</f>
        <v>6325000</v>
      </c>
      <c r="F30" s="21"/>
    </row>
    <row r="31" spans="1:6">
      <c r="A31" s="21"/>
      <c r="B31" s="21"/>
      <c r="C31" s="21"/>
      <c r="D31" s="21"/>
      <c r="E31" s="21"/>
      <c r="F31" s="21"/>
    </row>
    <row r="32" spans="1:6">
      <c r="A32" s="21"/>
      <c r="B32" s="21"/>
      <c r="C32" s="21"/>
      <c r="D32" s="21"/>
      <c r="E32" s="21"/>
      <c r="F32" s="21"/>
    </row>
    <row r="33" spans="1:6">
      <c r="A33" s="21"/>
      <c r="B33" s="21"/>
      <c r="C33" s="21"/>
      <c r="D33" s="21"/>
      <c r="E33" s="21"/>
      <c r="F33" s="21"/>
    </row>
    <row r="34" spans="1:6">
      <c r="A34" s="21"/>
      <c r="B34" s="21"/>
      <c r="C34" s="21"/>
      <c r="D34" s="21"/>
      <c r="E34" s="21"/>
      <c r="F34" s="21"/>
    </row>
    <row r="35" spans="1:6">
      <c r="A35" s="21"/>
      <c r="B35" s="21"/>
      <c r="C35" s="21"/>
      <c r="D35" s="21"/>
      <c r="E35" s="21"/>
      <c r="F35" s="21"/>
    </row>
    <row r="36" spans="1:6">
      <c r="A36" s="21"/>
      <c r="B36" s="21"/>
      <c r="C36" s="21"/>
      <c r="D36" s="21"/>
      <c r="E36" s="21"/>
      <c r="F36" s="21"/>
    </row>
  </sheetData>
  <mergeCells count="7">
    <mergeCell ref="A3:C3"/>
    <mergeCell ref="D3:F3"/>
    <mergeCell ref="A4:C4"/>
    <mergeCell ref="D4:F4"/>
    <mergeCell ref="A5:F5"/>
    <mergeCell ref="C30:D30"/>
    <mergeCell ref="A1:F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15" workbookViewId="0">
      <selection activeCell="F24" sqref="F24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45</v>
      </c>
      <c r="B3" s="1"/>
      <c r="C3" s="1"/>
      <c r="D3" s="1" t="s">
        <v>2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5795</v>
      </c>
      <c r="B7" s="7" t="s">
        <v>21</v>
      </c>
      <c r="C7" s="7">
        <v>360</v>
      </c>
      <c r="D7" s="7">
        <v>2757</v>
      </c>
      <c r="E7" s="7">
        <f>C7*D7</f>
        <v>992520</v>
      </c>
      <c r="F7" s="7" t="s">
        <v>22</v>
      </c>
    </row>
    <row r="8" spans="1:6">
      <c r="A8" s="7">
        <v>6061</v>
      </c>
      <c r="B8" s="7" t="s">
        <v>23</v>
      </c>
      <c r="C8" s="7">
        <v>400</v>
      </c>
      <c r="D8" s="7">
        <v>2757</v>
      </c>
      <c r="E8" s="7">
        <f t="shared" ref="E8:E29" si="0">C8*D8</f>
        <v>1102800</v>
      </c>
      <c r="F8" s="7" t="s">
        <v>22</v>
      </c>
    </row>
    <row r="9" spans="1:6">
      <c r="A9" s="7">
        <v>6058</v>
      </c>
      <c r="B9" s="7" t="s">
        <v>24</v>
      </c>
      <c r="C9" s="7">
        <v>400</v>
      </c>
      <c r="D9" s="7">
        <v>2757</v>
      </c>
      <c r="E9" s="7">
        <f t="shared" si="0"/>
        <v>1102800</v>
      </c>
      <c r="F9" s="7" t="s">
        <v>22</v>
      </c>
    </row>
    <row r="10" spans="1:6">
      <c r="A10" s="7">
        <v>606</v>
      </c>
      <c r="B10" s="7" t="s">
        <v>25</v>
      </c>
      <c r="C10" s="7">
        <v>400</v>
      </c>
      <c r="D10" s="7">
        <v>2757</v>
      </c>
      <c r="E10" s="7">
        <f t="shared" si="0"/>
        <v>1102800</v>
      </c>
      <c r="F10" s="7" t="s">
        <v>22</v>
      </c>
    </row>
    <row r="11" spans="1:6">
      <c r="A11" s="7">
        <v>6057</v>
      </c>
      <c r="B11" s="7" t="s">
        <v>26</v>
      </c>
      <c r="C11" s="7">
        <v>400</v>
      </c>
      <c r="D11" s="7">
        <v>2757</v>
      </c>
      <c r="E11" s="7">
        <f t="shared" si="0"/>
        <v>1102800</v>
      </c>
      <c r="F11" s="7" t="s">
        <v>22</v>
      </c>
    </row>
    <row r="12" spans="1:6">
      <c r="A12" s="7">
        <v>6062</v>
      </c>
      <c r="B12" s="7" t="s">
        <v>27</v>
      </c>
      <c r="C12" s="7">
        <v>400</v>
      </c>
      <c r="D12" s="7">
        <v>2757</v>
      </c>
      <c r="E12" s="7">
        <f t="shared" si="0"/>
        <v>1102800</v>
      </c>
      <c r="F12" s="7" t="s">
        <v>22</v>
      </c>
    </row>
    <row r="13" spans="1:6">
      <c r="A13" s="7">
        <v>6053</v>
      </c>
      <c r="B13" s="7" t="s">
        <v>28</v>
      </c>
      <c r="C13" s="7">
        <v>400</v>
      </c>
      <c r="D13" s="7">
        <v>2757</v>
      </c>
      <c r="E13" s="7">
        <f t="shared" si="0"/>
        <v>1102800</v>
      </c>
      <c r="F13" s="7" t="s">
        <v>22</v>
      </c>
    </row>
    <row r="14" spans="1:6">
      <c r="A14" s="7">
        <v>6055</v>
      </c>
      <c r="B14" s="7" t="s">
        <v>29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1:6">
      <c r="A15" s="7">
        <v>6056</v>
      </c>
      <c r="B15" s="7" t="s">
        <v>30</v>
      </c>
      <c r="C15" s="7">
        <v>400</v>
      </c>
      <c r="D15" s="7">
        <v>2757</v>
      </c>
      <c r="E15" s="7">
        <f t="shared" si="0"/>
        <v>1102800</v>
      </c>
      <c r="F15" s="7" t="s">
        <v>22</v>
      </c>
    </row>
    <row r="16" spans="1:6">
      <c r="A16" s="7">
        <v>6054</v>
      </c>
      <c r="B16" s="7" t="s">
        <v>31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1:6">
      <c r="A17" s="7">
        <v>6059</v>
      </c>
      <c r="B17" s="7" t="s">
        <v>32</v>
      </c>
      <c r="C17" s="7">
        <v>400</v>
      </c>
      <c r="D17" s="7">
        <v>2757</v>
      </c>
      <c r="E17" s="7">
        <f t="shared" si="0"/>
        <v>1102800</v>
      </c>
      <c r="F17" s="7" t="s">
        <v>22</v>
      </c>
    </row>
    <row r="18" spans="1:6">
      <c r="A18" s="7">
        <v>6322</v>
      </c>
      <c r="B18" s="7" t="s">
        <v>33</v>
      </c>
      <c r="C18" s="7">
        <v>400</v>
      </c>
      <c r="D18" s="7">
        <v>2757</v>
      </c>
      <c r="E18" s="7">
        <f t="shared" si="0"/>
        <v>1102800</v>
      </c>
      <c r="F18" s="7" t="s">
        <v>22</v>
      </c>
    </row>
    <row r="19" spans="1:6">
      <c r="A19" s="7">
        <v>6066</v>
      </c>
      <c r="B19" s="7" t="s">
        <v>34</v>
      </c>
      <c r="C19" s="7">
        <v>400</v>
      </c>
      <c r="D19" s="7">
        <v>2757</v>
      </c>
      <c r="E19" s="7">
        <f t="shared" si="0"/>
        <v>1102800</v>
      </c>
      <c r="F19" s="7" t="s">
        <v>22</v>
      </c>
    </row>
    <row r="20" spans="1:6">
      <c r="A20" s="7">
        <v>6254</v>
      </c>
      <c r="B20" s="7" t="s">
        <v>35</v>
      </c>
      <c r="C20" s="7">
        <v>400</v>
      </c>
      <c r="D20" s="7">
        <v>2757</v>
      </c>
      <c r="E20" s="7">
        <f t="shared" si="0"/>
        <v>1102800</v>
      </c>
      <c r="F20" s="7" t="s">
        <v>22</v>
      </c>
    </row>
    <row r="21" spans="1:6">
      <c r="A21" s="7">
        <v>6252</v>
      </c>
      <c r="B21" s="7" t="s">
        <v>36</v>
      </c>
      <c r="C21" s="7">
        <v>400</v>
      </c>
      <c r="D21" s="7">
        <v>2757</v>
      </c>
      <c r="E21" s="7">
        <f t="shared" si="0"/>
        <v>1102800</v>
      </c>
      <c r="F21" s="7" t="s">
        <v>22</v>
      </c>
    </row>
    <row r="22" spans="1:6">
      <c r="A22" s="7">
        <v>6253</v>
      </c>
      <c r="B22" s="7" t="s">
        <v>37</v>
      </c>
      <c r="C22" s="7">
        <v>400</v>
      </c>
      <c r="D22" s="7">
        <v>2757</v>
      </c>
      <c r="E22" s="7">
        <f t="shared" si="0"/>
        <v>1102800</v>
      </c>
      <c r="F22" s="7" t="s">
        <v>22</v>
      </c>
    </row>
    <row r="23" spans="1:6">
      <c r="A23" s="7">
        <v>6249</v>
      </c>
      <c r="B23" s="7" t="s">
        <v>38</v>
      </c>
      <c r="C23" s="7">
        <v>400</v>
      </c>
      <c r="D23" s="7">
        <v>2757</v>
      </c>
      <c r="E23" s="7">
        <f t="shared" si="0"/>
        <v>1102800</v>
      </c>
      <c r="F23" s="7" t="s">
        <v>22</v>
      </c>
    </row>
    <row r="24" spans="1:6">
      <c r="A24" s="7">
        <v>6067</v>
      </c>
      <c r="B24" s="7" t="s">
        <v>39</v>
      </c>
      <c r="C24" s="7">
        <v>400</v>
      </c>
      <c r="D24" s="7">
        <v>2757</v>
      </c>
      <c r="E24" s="7">
        <f t="shared" si="0"/>
        <v>1102800</v>
      </c>
      <c r="F24" s="7" t="s">
        <v>22</v>
      </c>
    </row>
    <row r="25" spans="1:6">
      <c r="A25" s="7">
        <v>6301</v>
      </c>
      <c r="B25" s="7" t="s">
        <v>40</v>
      </c>
      <c r="C25" s="7">
        <v>400</v>
      </c>
      <c r="D25" s="7">
        <v>2757</v>
      </c>
      <c r="E25" s="7">
        <f t="shared" si="0"/>
        <v>1102800</v>
      </c>
      <c r="F25" s="7" t="s">
        <v>22</v>
      </c>
    </row>
    <row r="26" spans="1:6">
      <c r="A26" s="7">
        <v>6292</v>
      </c>
      <c r="B26" s="7" t="s">
        <v>41</v>
      </c>
      <c r="C26" s="7">
        <v>400</v>
      </c>
      <c r="D26" s="7">
        <v>2757</v>
      </c>
      <c r="E26" s="7">
        <f t="shared" si="0"/>
        <v>1102800</v>
      </c>
      <c r="F26" s="7" t="s">
        <v>22</v>
      </c>
    </row>
    <row r="27" spans="1:6">
      <c r="A27" s="7">
        <v>6312</v>
      </c>
      <c r="B27" s="7" t="s">
        <v>42</v>
      </c>
      <c r="C27" s="7">
        <v>400</v>
      </c>
      <c r="D27" s="7">
        <v>2757</v>
      </c>
      <c r="E27" s="7">
        <f t="shared" si="0"/>
        <v>1102800</v>
      </c>
      <c r="F27" s="7" t="s">
        <v>22</v>
      </c>
    </row>
    <row r="28" spans="1:6">
      <c r="A28" s="7">
        <v>6250</v>
      </c>
      <c r="B28" s="7" t="s">
        <v>43</v>
      </c>
      <c r="C28" s="7">
        <v>400</v>
      </c>
      <c r="D28" s="7">
        <v>2757</v>
      </c>
      <c r="E28" s="7">
        <f t="shared" si="0"/>
        <v>1102800</v>
      </c>
      <c r="F28" s="7" t="s">
        <v>22</v>
      </c>
    </row>
    <row r="29" spans="1:6">
      <c r="A29" s="7">
        <v>6248</v>
      </c>
      <c r="B29" s="7" t="s">
        <v>44</v>
      </c>
      <c r="C29" s="7">
        <v>400</v>
      </c>
      <c r="D29" s="7">
        <v>2757</v>
      </c>
      <c r="E29" s="7">
        <f t="shared" si="0"/>
        <v>1102800</v>
      </c>
      <c r="F29" s="7" t="s">
        <v>22</v>
      </c>
    </row>
    <row r="30" spans="1:6">
      <c r="A30" s="21"/>
      <c r="B30" s="21"/>
      <c r="C30" s="7" t="s">
        <v>18</v>
      </c>
      <c r="D30" s="7"/>
      <c r="E30" s="7">
        <f>SUM(E7:E29)</f>
        <v>25254120</v>
      </c>
      <c r="F30" s="21"/>
    </row>
    <row r="31" spans="1:6">
      <c r="A31" s="21"/>
      <c r="B31" s="21"/>
      <c r="C31" s="21"/>
      <c r="D31" s="21"/>
      <c r="E31" s="21"/>
      <c r="F31" s="21"/>
    </row>
    <row r="32" spans="1:6">
      <c r="A32" s="21"/>
      <c r="B32" s="21"/>
      <c r="C32" s="21"/>
      <c r="D32" s="21"/>
      <c r="E32" s="21"/>
      <c r="F32" s="21"/>
    </row>
    <row r="33" spans="1:6">
      <c r="A33" s="21"/>
      <c r="B33" s="21"/>
      <c r="C33" s="21"/>
      <c r="D33" s="21"/>
      <c r="E33" s="21"/>
      <c r="F33" s="21"/>
    </row>
    <row r="34" spans="1:6">
      <c r="A34" s="21"/>
      <c r="B34" s="21"/>
      <c r="C34" s="21"/>
      <c r="D34" s="21"/>
      <c r="E34" s="21"/>
      <c r="F34" s="21"/>
    </row>
    <row r="35" spans="1:6">
      <c r="A35" s="21"/>
      <c r="B35" s="21"/>
      <c r="C35" s="21"/>
      <c r="D35" s="21"/>
      <c r="E35" s="21"/>
      <c r="F35" s="21"/>
    </row>
    <row r="36" spans="1:6">
      <c r="A36" s="21"/>
      <c r="B36" s="21"/>
      <c r="C36" s="21"/>
      <c r="D36" s="21"/>
      <c r="E36" s="21"/>
      <c r="F36" s="21"/>
    </row>
  </sheetData>
  <mergeCells count="7">
    <mergeCell ref="A3:C3"/>
    <mergeCell ref="D3:F3"/>
    <mergeCell ref="A4:C4"/>
    <mergeCell ref="D4:F4"/>
    <mergeCell ref="A5:F5"/>
    <mergeCell ref="C30:D30"/>
    <mergeCell ref="A1:F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9" sqref="D9"/>
    </sheetView>
  </sheetViews>
  <sheetFormatPr defaultColWidth="9" defaultRowHeight="14.25" outlineLevelRow="7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47</v>
      </c>
      <c r="B3" s="1"/>
      <c r="C3" s="1"/>
      <c r="D3" s="1" t="s">
        <v>2</v>
      </c>
      <c r="E3" s="1"/>
      <c r="F3" s="1"/>
    </row>
    <row r="4" spans="1:6">
      <c r="A4" s="1" t="s">
        <v>3</v>
      </c>
      <c r="B4" s="1"/>
      <c r="C4" s="1"/>
      <c r="D4" s="1" t="s">
        <v>48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 t="s">
        <v>49</v>
      </c>
      <c r="B7" s="7" t="s">
        <v>50</v>
      </c>
      <c r="C7" s="7">
        <v>300</v>
      </c>
      <c r="D7" s="7">
        <v>1.1</v>
      </c>
      <c r="E7" s="51">
        <f>C7*D7</f>
        <v>330</v>
      </c>
      <c r="F7" s="7" t="s">
        <v>49</v>
      </c>
    </row>
    <row r="8" spans="3:5">
      <c r="C8" s="7" t="s">
        <v>18</v>
      </c>
      <c r="D8" s="7"/>
      <c r="E8" s="51">
        <f>SUM(E7:E7)</f>
        <v>330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3" sqref="D3:F3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51</v>
      </c>
      <c r="B3" s="1"/>
      <c r="C3" s="1"/>
      <c r="D3" s="1" t="s">
        <v>2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6404</v>
      </c>
      <c r="B7" s="7" t="s">
        <v>52</v>
      </c>
      <c r="C7" s="7">
        <v>450</v>
      </c>
      <c r="D7" s="7">
        <v>2757</v>
      </c>
      <c r="E7" s="7">
        <f>C7*D7</f>
        <v>1240650</v>
      </c>
      <c r="F7" s="7" t="s">
        <v>53</v>
      </c>
    </row>
    <row r="8" spans="1:6">
      <c r="A8" s="7">
        <v>6401</v>
      </c>
      <c r="B8" s="7" t="s">
        <v>54</v>
      </c>
      <c r="C8" s="7">
        <v>450</v>
      </c>
      <c r="D8" s="7">
        <v>2757</v>
      </c>
      <c r="E8" s="7">
        <f>C8*D8</f>
        <v>1240650</v>
      </c>
      <c r="F8" s="7" t="s">
        <v>53</v>
      </c>
    </row>
    <row r="9" spans="3:5">
      <c r="C9" s="8" t="s">
        <v>18</v>
      </c>
      <c r="D9" s="8"/>
      <c r="E9" s="8">
        <f>SUM(E7:E7)</f>
        <v>1240650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18" sqref="C18"/>
    </sheetView>
  </sheetViews>
  <sheetFormatPr defaultColWidth="9" defaultRowHeight="14.25" outlineLevelRow="7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55</v>
      </c>
      <c r="B3" s="1"/>
      <c r="C3" s="1"/>
      <c r="D3" s="1" t="s">
        <v>2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 t="s">
        <v>57</v>
      </c>
      <c r="B7" s="7" t="s">
        <v>58</v>
      </c>
      <c r="C7" s="7">
        <v>100</v>
      </c>
      <c r="D7" s="7">
        <v>2710</v>
      </c>
      <c r="E7" s="7">
        <f>C7*D7</f>
        <v>271000</v>
      </c>
      <c r="F7" s="7" t="s">
        <v>49</v>
      </c>
    </row>
    <row r="8" spans="3:5">
      <c r="C8" s="8" t="s">
        <v>18</v>
      </c>
      <c r="D8" s="8"/>
      <c r="E8" s="8">
        <f>SUM(E7:E7)</f>
        <v>271000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25" sqref="F25"/>
    </sheetView>
  </sheetViews>
  <sheetFormatPr defaultColWidth="9" defaultRowHeight="14.25" outlineLevelRow="7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59</v>
      </c>
      <c r="B3" s="1"/>
      <c r="C3" s="1"/>
      <c r="D3" s="1" t="s">
        <v>60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6215</v>
      </c>
      <c r="B7" s="7" t="s">
        <v>62</v>
      </c>
      <c r="C7" s="7">
        <v>560</v>
      </c>
      <c r="D7" s="7">
        <v>2987</v>
      </c>
      <c r="E7" s="7">
        <f>C7*D7</f>
        <v>1672720</v>
      </c>
      <c r="F7" s="7" t="s">
        <v>13</v>
      </c>
    </row>
    <row r="8" spans="3:5">
      <c r="C8" s="8" t="s">
        <v>18</v>
      </c>
      <c r="D8" s="8"/>
      <c r="E8" s="8">
        <f>SUM(E7:E7)</f>
        <v>1672720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H9" sqref="H9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63</v>
      </c>
      <c r="B3" s="1"/>
      <c r="C3" s="1"/>
      <c r="D3" s="1" t="s">
        <v>60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6399</v>
      </c>
      <c r="B7" s="7" t="s">
        <v>64</v>
      </c>
      <c r="C7" s="7">
        <v>450</v>
      </c>
      <c r="D7" s="7">
        <v>2757</v>
      </c>
      <c r="E7" s="7">
        <f t="shared" ref="E7:E9" si="0">C7*D7</f>
        <v>1240650</v>
      </c>
      <c r="F7" s="7" t="s">
        <v>53</v>
      </c>
    </row>
    <row r="8" spans="1:6">
      <c r="A8" s="7">
        <v>6397</v>
      </c>
      <c r="B8" s="7" t="s">
        <v>65</v>
      </c>
      <c r="C8" s="7">
        <v>450</v>
      </c>
      <c r="D8" s="7">
        <v>2757</v>
      </c>
      <c r="E8" s="7">
        <f t="shared" si="0"/>
        <v>1240650</v>
      </c>
      <c r="F8" s="7" t="s">
        <v>53</v>
      </c>
    </row>
    <row r="9" spans="1:6">
      <c r="A9" s="7">
        <v>6400</v>
      </c>
      <c r="B9" s="7" t="s">
        <v>66</v>
      </c>
      <c r="C9" s="7">
        <v>450</v>
      </c>
      <c r="D9" s="7">
        <v>2757</v>
      </c>
      <c r="E9" s="7">
        <f t="shared" si="0"/>
        <v>1240650</v>
      </c>
      <c r="F9" s="7" t="s">
        <v>53</v>
      </c>
    </row>
    <row r="10" spans="3:5">
      <c r="C10" s="8" t="s">
        <v>18</v>
      </c>
      <c r="D10" s="8"/>
      <c r="E10" s="8">
        <f>SUM(E7:E9)</f>
        <v>3721950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4" sqref="A4:C4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67</v>
      </c>
      <c r="B3" s="1"/>
      <c r="C3" s="1"/>
      <c r="D3" s="1" t="s">
        <v>60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6253</v>
      </c>
      <c r="B7" s="7" t="s">
        <v>37</v>
      </c>
      <c r="C7" s="7">
        <v>20</v>
      </c>
      <c r="D7" s="7">
        <v>2875</v>
      </c>
      <c r="E7" s="7">
        <f t="shared" ref="E7:E12" si="0">C7*D7</f>
        <v>57500</v>
      </c>
      <c r="F7" s="7" t="s">
        <v>22</v>
      </c>
    </row>
    <row r="8" spans="1:6">
      <c r="A8" s="7">
        <v>6252</v>
      </c>
      <c r="B8" s="7" t="s">
        <v>36</v>
      </c>
      <c r="C8" s="7">
        <v>20</v>
      </c>
      <c r="D8" s="7">
        <v>2875</v>
      </c>
      <c r="E8" s="7">
        <f t="shared" si="0"/>
        <v>57500</v>
      </c>
      <c r="F8" s="7" t="s">
        <v>22</v>
      </c>
    </row>
    <row r="9" spans="1:6">
      <c r="A9" s="7">
        <v>6060</v>
      </c>
      <c r="B9" s="7" t="s">
        <v>25</v>
      </c>
      <c r="C9" s="7">
        <v>20</v>
      </c>
      <c r="D9" s="7">
        <v>2875</v>
      </c>
      <c r="E9" s="7">
        <f t="shared" si="0"/>
        <v>57500</v>
      </c>
      <c r="F9" s="7" t="s">
        <v>22</v>
      </c>
    </row>
    <row r="10" spans="1:6">
      <c r="A10" s="7">
        <v>6057</v>
      </c>
      <c r="B10" s="7" t="s">
        <v>26</v>
      </c>
      <c r="C10" s="7">
        <v>20</v>
      </c>
      <c r="D10" s="7">
        <v>2875</v>
      </c>
      <c r="E10" s="7">
        <f t="shared" si="0"/>
        <v>57500</v>
      </c>
      <c r="F10" s="7" t="s">
        <v>22</v>
      </c>
    </row>
    <row r="11" spans="1:6">
      <c r="A11" s="7">
        <v>6249</v>
      </c>
      <c r="B11" s="7" t="s">
        <v>38</v>
      </c>
      <c r="C11" s="7">
        <v>70</v>
      </c>
      <c r="D11" s="7">
        <v>2875</v>
      </c>
      <c r="E11" s="7">
        <f t="shared" si="0"/>
        <v>201250</v>
      </c>
      <c r="F11" s="7" t="s">
        <v>22</v>
      </c>
    </row>
    <row r="12" spans="1:6">
      <c r="A12" s="7">
        <v>6053</v>
      </c>
      <c r="B12" s="7" t="s">
        <v>28</v>
      </c>
      <c r="C12" s="7">
        <v>50</v>
      </c>
      <c r="D12" s="7">
        <v>2875</v>
      </c>
      <c r="E12" s="7">
        <f t="shared" si="0"/>
        <v>143750</v>
      </c>
      <c r="F12" s="7" t="s">
        <v>22</v>
      </c>
    </row>
    <row r="13" spans="3:5">
      <c r="C13" s="8" t="s">
        <v>18</v>
      </c>
      <c r="D13" s="8"/>
      <c r="E13" s="8">
        <f>SUM(E7:E9)</f>
        <v>172500</v>
      </c>
    </row>
  </sheetData>
  <mergeCells count="7">
    <mergeCell ref="A3:C3"/>
    <mergeCell ref="D3:F3"/>
    <mergeCell ref="A4:C4"/>
    <mergeCell ref="D4:F4"/>
    <mergeCell ref="A5:F5"/>
    <mergeCell ref="C13:D13"/>
    <mergeCell ref="A1:F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9" sqref="C9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68</v>
      </c>
      <c r="B3" s="1"/>
      <c r="C3" s="1"/>
      <c r="D3" s="1" t="s">
        <v>60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6383</v>
      </c>
      <c r="B7" s="7" t="s">
        <v>70</v>
      </c>
      <c r="C7" s="7">
        <v>40</v>
      </c>
      <c r="D7" s="7">
        <v>1.1</v>
      </c>
      <c r="E7" s="51">
        <f t="shared" ref="E7:E11" si="0">C7*D7</f>
        <v>44</v>
      </c>
      <c r="F7" s="7" t="s">
        <v>22</v>
      </c>
    </row>
    <row r="8" spans="1:6">
      <c r="A8" s="7">
        <v>6384</v>
      </c>
      <c r="B8" s="7" t="s">
        <v>71</v>
      </c>
      <c r="C8" s="7">
        <v>40</v>
      </c>
      <c r="D8" s="7">
        <v>1.1</v>
      </c>
      <c r="E8" s="51">
        <f t="shared" si="0"/>
        <v>44</v>
      </c>
      <c r="F8" s="7" t="s">
        <v>22</v>
      </c>
    </row>
    <row r="9" spans="1:6">
      <c r="A9" s="7">
        <v>6324</v>
      </c>
      <c r="B9" s="7" t="s">
        <v>72</v>
      </c>
      <c r="C9" s="7">
        <v>40</v>
      </c>
      <c r="D9" s="7">
        <v>1.1</v>
      </c>
      <c r="E9" s="51">
        <f t="shared" si="0"/>
        <v>44</v>
      </c>
      <c r="F9" s="7" t="s">
        <v>22</v>
      </c>
    </row>
    <row r="10" spans="1:6">
      <c r="A10" s="7">
        <v>6323</v>
      </c>
      <c r="B10" s="7" t="s">
        <v>73</v>
      </c>
      <c r="C10" s="7">
        <v>40</v>
      </c>
      <c r="D10" s="7">
        <v>1.1</v>
      </c>
      <c r="E10" s="51">
        <f t="shared" si="0"/>
        <v>44</v>
      </c>
      <c r="F10" s="7" t="s">
        <v>22</v>
      </c>
    </row>
    <row r="11" spans="1:6">
      <c r="A11" s="7">
        <v>6321</v>
      </c>
      <c r="B11" s="7" t="s">
        <v>74</v>
      </c>
      <c r="C11" s="7">
        <v>40</v>
      </c>
      <c r="D11" s="7">
        <v>1.1</v>
      </c>
      <c r="E11" s="51">
        <f t="shared" si="0"/>
        <v>44</v>
      </c>
      <c r="F11" s="7" t="s">
        <v>22</v>
      </c>
    </row>
    <row r="12" spans="3:5">
      <c r="C12" s="8" t="s">
        <v>18</v>
      </c>
      <c r="D12" s="8"/>
      <c r="E12" s="52">
        <f>SUM(E7:E9)</f>
        <v>132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F10" sqref="F10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75</v>
      </c>
      <c r="B3" s="1"/>
      <c r="C3" s="1"/>
      <c r="D3" s="1" t="s">
        <v>60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6417</v>
      </c>
      <c r="B7" s="7" t="s">
        <v>77</v>
      </c>
      <c r="C7" s="7">
        <v>50</v>
      </c>
      <c r="D7" s="7">
        <v>1.1</v>
      </c>
      <c r="E7" s="51">
        <f t="shared" ref="E7:E17" si="0">C7*D7</f>
        <v>55</v>
      </c>
      <c r="F7" s="7" t="s">
        <v>78</v>
      </c>
    </row>
    <row r="8" spans="1:6">
      <c r="A8" s="7">
        <v>6418</v>
      </c>
      <c r="B8" s="7" t="s">
        <v>79</v>
      </c>
      <c r="C8" s="7">
        <v>50</v>
      </c>
      <c r="D8" s="7">
        <v>1.1</v>
      </c>
      <c r="E8" s="51">
        <f t="shared" si="0"/>
        <v>55</v>
      </c>
      <c r="F8" s="7" t="s">
        <v>78</v>
      </c>
    </row>
    <row r="9" spans="1:6">
      <c r="A9" s="7">
        <v>6433</v>
      </c>
      <c r="B9" s="7" t="s">
        <v>80</v>
      </c>
      <c r="C9" s="7">
        <v>50</v>
      </c>
      <c r="D9" s="7">
        <v>1.1</v>
      </c>
      <c r="E9" s="51">
        <f t="shared" si="0"/>
        <v>55</v>
      </c>
      <c r="F9" s="7" t="s">
        <v>78</v>
      </c>
    </row>
    <row r="10" spans="1:6">
      <c r="A10" s="7">
        <v>6427</v>
      </c>
      <c r="B10" s="7" t="s">
        <v>81</v>
      </c>
      <c r="C10" s="7">
        <v>50</v>
      </c>
      <c r="D10" s="7">
        <v>1.1</v>
      </c>
      <c r="E10" s="51">
        <f t="shared" si="0"/>
        <v>55</v>
      </c>
      <c r="F10" s="7" t="s">
        <v>78</v>
      </c>
    </row>
    <row r="11" spans="1:6">
      <c r="A11" s="7">
        <v>6435</v>
      </c>
      <c r="B11" s="7" t="s">
        <v>82</v>
      </c>
      <c r="C11" s="7">
        <v>50</v>
      </c>
      <c r="D11" s="7">
        <v>1.1</v>
      </c>
      <c r="E11" s="51">
        <f t="shared" si="0"/>
        <v>55</v>
      </c>
      <c r="F11" s="7" t="s">
        <v>78</v>
      </c>
    </row>
    <row r="12" spans="1:6">
      <c r="A12" s="7">
        <v>6405</v>
      </c>
      <c r="B12" s="7" t="s">
        <v>83</v>
      </c>
      <c r="C12" s="7">
        <v>50</v>
      </c>
      <c r="D12" s="7">
        <v>1.1</v>
      </c>
      <c r="E12" s="51">
        <f t="shared" si="0"/>
        <v>55</v>
      </c>
      <c r="F12" s="7" t="s">
        <v>22</v>
      </c>
    </row>
    <row r="13" spans="1:6">
      <c r="A13" s="7">
        <v>6284</v>
      </c>
      <c r="B13" s="7" t="s">
        <v>84</v>
      </c>
      <c r="C13" s="7">
        <v>50</v>
      </c>
      <c r="D13" s="7">
        <v>1.1</v>
      </c>
      <c r="E13" s="51">
        <f t="shared" si="0"/>
        <v>55</v>
      </c>
      <c r="F13" s="7" t="s">
        <v>22</v>
      </c>
    </row>
    <row r="14" spans="1:6">
      <c r="A14" s="7">
        <v>6285</v>
      </c>
      <c r="B14" s="7" t="s">
        <v>85</v>
      </c>
      <c r="C14" s="7">
        <v>50</v>
      </c>
      <c r="D14" s="7">
        <v>1.1</v>
      </c>
      <c r="E14" s="51">
        <f t="shared" si="0"/>
        <v>55</v>
      </c>
      <c r="F14" s="7" t="s">
        <v>22</v>
      </c>
    </row>
    <row r="15" spans="1:6">
      <c r="A15" s="7">
        <v>6286</v>
      </c>
      <c r="B15" s="7" t="s">
        <v>86</v>
      </c>
      <c r="C15" s="7">
        <v>50</v>
      </c>
      <c r="D15" s="7">
        <v>1.1</v>
      </c>
      <c r="E15" s="51">
        <f t="shared" si="0"/>
        <v>55</v>
      </c>
      <c r="F15" s="7" t="s">
        <v>22</v>
      </c>
    </row>
    <row r="16" spans="1:6">
      <c r="A16" s="7">
        <v>6256</v>
      </c>
      <c r="B16" s="7" t="s">
        <v>87</v>
      </c>
      <c r="C16" s="7">
        <v>50</v>
      </c>
      <c r="D16" s="7">
        <v>1.1</v>
      </c>
      <c r="E16" s="51">
        <f t="shared" si="0"/>
        <v>55</v>
      </c>
      <c r="F16" s="7" t="s">
        <v>22</v>
      </c>
    </row>
    <row r="17" spans="1:6">
      <c r="A17" s="7">
        <v>6251</v>
      </c>
      <c r="B17" s="7" t="s">
        <v>88</v>
      </c>
      <c r="C17" s="7">
        <v>50</v>
      </c>
      <c r="D17" s="7">
        <v>1.1</v>
      </c>
      <c r="E17" s="51">
        <f t="shared" si="0"/>
        <v>55</v>
      </c>
      <c r="F17" s="7" t="s">
        <v>22</v>
      </c>
    </row>
    <row r="18" spans="3:5">
      <c r="C18" s="8" t="s">
        <v>18</v>
      </c>
      <c r="D18" s="8"/>
      <c r="E18" s="52">
        <f>SUM(E7:E17)</f>
        <v>605</v>
      </c>
    </row>
  </sheetData>
  <mergeCells count="7">
    <mergeCell ref="A3:C3"/>
    <mergeCell ref="D3:F3"/>
    <mergeCell ref="A4:C4"/>
    <mergeCell ref="D4:F4"/>
    <mergeCell ref="A5:F5"/>
    <mergeCell ref="C18:D18"/>
    <mergeCell ref="A1:F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14" sqref="E14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89</v>
      </c>
      <c r="B3" s="1"/>
      <c r="C3" s="1"/>
      <c r="D3" s="1" t="s">
        <v>60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6417</v>
      </c>
      <c r="B7" s="7" t="s">
        <v>77</v>
      </c>
      <c r="C7" s="7">
        <v>350</v>
      </c>
      <c r="D7" s="7">
        <v>1.1</v>
      </c>
      <c r="E7" s="51">
        <f t="shared" ref="E7:E20" si="0">C7*D7</f>
        <v>385</v>
      </c>
      <c r="F7" s="7" t="s">
        <v>78</v>
      </c>
    </row>
    <row r="8" spans="1:6">
      <c r="A8" s="7">
        <v>6418</v>
      </c>
      <c r="B8" s="7" t="s">
        <v>79</v>
      </c>
      <c r="C8" s="7">
        <v>350</v>
      </c>
      <c r="D8" s="7">
        <v>1.1</v>
      </c>
      <c r="E8" s="51">
        <f t="shared" si="0"/>
        <v>385</v>
      </c>
      <c r="F8" s="7" t="s">
        <v>78</v>
      </c>
    </row>
    <row r="9" spans="1:6">
      <c r="A9" s="7">
        <v>6433</v>
      </c>
      <c r="B9" s="7" t="s">
        <v>80</v>
      </c>
      <c r="C9" s="7">
        <v>350</v>
      </c>
      <c r="D9" s="7">
        <v>1.1</v>
      </c>
      <c r="E9" s="51">
        <f t="shared" si="0"/>
        <v>385</v>
      </c>
      <c r="F9" s="7" t="s">
        <v>78</v>
      </c>
    </row>
    <row r="10" spans="1:6">
      <c r="A10" s="7">
        <v>6427</v>
      </c>
      <c r="B10" s="7" t="s">
        <v>81</v>
      </c>
      <c r="C10" s="7">
        <v>350</v>
      </c>
      <c r="D10" s="7">
        <v>1.1</v>
      </c>
      <c r="E10" s="51">
        <f t="shared" si="0"/>
        <v>385</v>
      </c>
      <c r="F10" s="7" t="s">
        <v>78</v>
      </c>
    </row>
    <row r="11" spans="1:6">
      <c r="A11" s="7">
        <v>6435</v>
      </c>
      <c r="B11" s="7" t="s">
        <v>82</v>
      </c>
      <c r="C11" s="7">
        <v>350</v>
      </c>
      <c r="D11" s="7">
        <v>1.1</v>
      </c>
      <c r="E11" s="51">
        <f t="shared" si="0"/>
        <v>385</v>
      </c>
      <c r="F11" s="7" t="s">
        <v>78</v>
      </c>
    </row>
    <row r="12" spans="1:6">
      <c r="A12" s="7">
        <v>6405</v>
      </c>
      <c r="B12" s="7" t="s">
        <v>83</v>
      </c>
      <c r="C12" s="7">
        <v>350</v>
      </c>
      <c r="D12" s="7">
        <v>1.1</v>
      </c>
      <c r="E12" s="51">
        <f t="shared" si="0"/>
        <v>385</v>
      </c>
      <c r="F12" s="7" t="s">
        <v>22</v>
      </c>
    </row>
    <row r="13" spans="1:6">
      <c r="A13" s="7">
        <v>6284</v>
      </c>
      <c r="B13" s="7" t="s">
        <v>84</v>
      </c>
      <c r="C13" s="7">
        <v>350</v>
      </c>
      <c r="D13" s="7">
        <v>1.1</v>
      </c>
      <c r="E13" s="51">
        <f t="shared" si="0"/>
        <v>385</v>
      </c>
      <c r="F13" s="7" t="s">
        <v>22</v>
      </c>
    </row>
    <row r="14" spans="1:6">
      <c r="A14" s="7">
        <v>6285</v>
      </c>
      <c r="B14" s="7" t="s">
        <v>85</v>
      </c>
      <c r="C14" s="7">
        <v>350</v>
      </c>
      <c r="D14" s="7">
        <v>1.1</v>
      </c>
      <c r="E14" s="51">
        <f t="shared" si="0"/>
        <v>385</v>
      </c>
      <c r="F14" s="7" t="s">
        <v>22</v>
      </c>
    </row>
    <row r="15" spans="1:6">
      <c r="A15" s="7">
        <v>6286</v>
      </c>
      <c r="B15" s="7" t="s">
        <v>86</v>
      </c>
      <c r="C15" s="7">
        <v>350</v>
      </c>
      <c r="D15" s="7">
        <v>1.1</v>
      </c>
      <c r="E15" s="51">
        <f t="shared" si="0"/>
        <v>385</v>
      </c>
      <c r="F15" s="7" t="s">
        <v>22</v>
      </c>
    </row>
    <row r="16" spans="1:6">
      <c r="A16" s="7">
        <v>6256</v>
      </c>
      <c r="B16" s="7" t="s">
        <v>87</v>
      </c>
      <c r="C16" s="7">
        <v>350</v>
      </c>
      <c r="D16" s="7">
        <v>1.1</v>
      </c>
      <c r="E16" s="51">
        <f t="shared" si="0"/>
        <v>385</v>
      </c>
      <c r="F16" s="7" t="s">
        <v>22</v>
      </c>
    </row>
    <row r="17" spans="1:6">
      <c r="A17" s="7">
        <v>6251</v>
      </c>
      <c r="B17" s="7" t="s">
        <v>88</v>
      </c>
      <c r="C17" s="7">
        <v>350</v>
      </c>
      <c r="D17" s="7">
        <v>1.1</v>
      </c>
      <c r="E17" s="51">
        <f t="shared" si="0"/>
        <v>385</v>
      </c>
      <c r="F17" s="7" t="s">
        <v>22</v>
      </c>
    </row>
    <row r="18" spans="1:6">
      <c r="A18" s="7">
        <v>6126</v>
      </c>
      <c r="B18" s="7" t="s">
        <v>90</v>
      </c>
      <c r="C18" s="7">
        <v>498</v>
      </c>
      <c r="D18" s="7">
        <v>1.1</v>
      </c>
      <c r="E18" s="51">
        <f t="shared" si="0"/>
        <v>547.8</v>
      </c>
      <c r="F18" s="7" t="s">
        <v>13</v>
      </c>
    </row>
    <row r="19" spans="1:6">
      <c r="A19" s="7">
        <v>5938</v>
      </c>
      <c r="B19" s="7" t="s">
        <v>91</v>
      </c>
      <c r="C19" s="7">
        <v>600</v>
      </c>
      <c r="D19" s="7">
        <v>1.1</v>
      </c>
      <c r="E19" s="51">
        <f t="shared" si="0"/>
        <v>660</v>
      </c>
      <c r="F19" s="7" t="s">
        <v>13</v>
      </c>
    </row>
    <row r="20" spans="1:6">
      <c r="A20" s="7">
        <v>6095</v>
      </c>
      <c r="B20" s="7" t="s">
        <v>92</v>
      </c>
      <c r="C20" s="7">
        <v>580</v>
      </c>
      <c r="D20" s="7">
        <v>1.1</v>
      </c>
      <c r="E20" s="51">
        <f t="shared" si="0"/>
        <v>638</v>
      </c>
      <c r="F20" s="7" t="s">
        <v>13</v>
      </c>
    </row>
    <row r="21" spans="3:5">
      <c r="C21" s="8" t="s">
        <v>18</v>
      </c>
      <c r="D21" s="8"/>
      <c r="E21" s="52">
        <f>SUM(E7:E20)</f>
        <v>6080.8</v>
      </c>
    </row>
  </sheetData>
  <mergeCells count="7">
    <mergeCell ref="A3:C3"/>
    <mergeCell ref="D3:F3"/>
    <mergeCell ref="A4:C4"/>
    <mergeCell ref="D4:F4"/>
    <mergeCell ref="A5:F5"/>
    <mergeCell ref="C21:D21"/>
    <mergeCell ref="A1:F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4" sqref="E14"/>
    </sheetView>
  </sheetViews>
  <sheetFormatPr defaultColWidth="9" defaultRowHeight="14.25" outlineLevelRow="7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93</v>
      </c>
      <c r="B3" s="1"/>
      <c r="C3" s="1"/>
      <c r="D3" s="1" t="s">
        <v>60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6350</v>
      </c>
      <c r="B7" s="7" t="s">
        <v>94</v>
      </c>
      <c r="C7" s="7">
        <v>450</v>
      </c>
      <c r="D7" s="7">
        <v>2757</v>
      </c>
      <c r="E7" s="7">
        <f t="shared" ref="E7" si="0">C7*D7</f>
        <v>1240650</v>
      </c>
      <c r="F7" s="7" t="s">
        <v>53</v>
      </c>
    </row>
    <row r="8" spans="3:5">
      <c r="C8" s="8" t="s">
        <v>18</v>
      </c>
      <c r="D8" s="8"/>
      <c r="E8" s="8">
        <f>SUM(E7:E7)</f>
        <v>1240650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9" sqref="D9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95</v>
      </c>
      <c r="B3" s="1"/>
      <c r="C3" s="1"/>
      <c r="D3" s="1" t="s">
        <v>60</v>
      </c>
      <c r="E3" s="1"/>
      <c r="F3" s="1"/>
    </row>
    <row r="4" spans="1:6">
      <c r="A4" s="1" t="s">
        <v>96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6296</v>
      </c>
      <c r="B7" s="7" t="s">
        <v>97</v>
      </c>
      <c r="C7" s="7">
        <v>40</v>
      </c>
      <c r="D7" s="7">
        <v>1.1</v>
      </c>
      <c r="E7" s="51">
        <f t="shared" ref="E7:E9" si="0">C7*D7</f>
        <v>44</v>
      </c>
      <c r="F7" s="7" t="s">
        <v>22</v>
      </c>
    </row>
    <row r="8" spans="1:6">
      <c r="A8" s="7">
        <v>6300</v>
      </c>
      <c r="B8" s="7" t="s">
        <v>98</v>
      </c>
      <c r="C8" s="7">
        <v>40</v>
      </c>
      <c r="D8" s="7">
        <v>1.1</v>
      </c>
      <c r="E8" s="51">
        <f t="shared" si="0"/>
        <v>44</v>
      </c>
      <c r="F8" s="7" t="s">
        <v>22</v>
      </c>
    </row>
    <row r="9" spans="1:6">
      <c r="A9" s="7">
        <v>6297</v>
      </c>
      <c r="B9" s="7" t="s">
        <v>99</v>
      </c>
      <c r="C9" s="7">
        <v>40</v>
      </c>
      <c r="D9" s="7">
        <v>1.1</v>
      </c>
      <c r="E9" s="51">
        <f t="shared" si="0"/>
        <v>44</v>
      </c>
      <c r="F9" s="7" t="s">
        <v>22</v>
      </c>
    </row>
    <row r="10" spans="3:5">
      <c r="C10" s="8" t="s">
        <v>18</v>
      </c>
      <c r="D10" s="8"/>
      <c r="E10" s="52">
        <f>SUM(E7:E9)</f>
        <v>132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8" sqref="C8:D8"/>
    </sheetView>
  </sheetViews>
  <sheetFormatPr defaultColWidth="9" defaultRowHeight="14.25" outlineLevelRow="7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100</v>
      </c>
      <c r="B3" s="1"/>
      <c r="C3" s="1"/>
      <c r="D3" s="1" t="s">
        <v>60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6180</v>
      </c>
      <c r="B7" s="7" t="s">
        <v>101</v>
      </c>
      <c r="C7" s="7">
        <v>550</v>
      </c>
      <c r="D7" s="7">
        <v>2704</v>
      </c>
      <c r="E7" s="7">
        <f t="shared" ref="E7" si="0">C7*D7</f>
        <v>1487200</v>
      </c>
      <c r="F7" s="7" t="s">
        <v>13</v>
      </c>
    </row>
    <row r="8" spans="3:5">
      <c r="C8" s="8" t="s">
        <v>18</v>
      </c>
      <c r="D8" s="8"/>
      <c r="E8" s="8">
        <f>SUM(E7)</f>
        <v>1487200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8" sqref="D8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102</v>
      </c>
      <c r="B3" s="1"/>
      <c r="C3" s="1"/>
      <c r="D3" s="1" t="s">
        <v>103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6123</v>
      </c>
      <c r="B7" s="7" t="s">
        <v>104</v>
      </c>
      <c r="C7" s="7">
        <v>450</v>
      </c>
      <c r="D7" s="7">
        <v>2757</v>
      </c>
      <c r="E7" s="7">
        <f t="shared" ref="E7:E11" si="0">C7*D7</f>
        <v>1240650</v>
      </c>
      <c r="F7" s="7" t="s">
        <v>13</v>
      </c>
    </row>
    <row r="8" spans="1:6">
      <c r="A8" s="7">
        <v>6348</v>
      </c>
      <c r="B8" s="22" t="s">
        <v>105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6347</v>
      </c>
      <c r="B9" s="22" t="s">
        <v>106</v>
      </c>
      <c r="C9" s="7">
        <v>450</v>
      </c>
      <c r="D9" s="7">
        <v>2757</v>
      </c>
      <c r="E9" s="7">
        <f t="shared" si="0"/>
        <v>1240650</v>
      </c>
      <c r="F9" s="7" t="s">
        <v>13</v>
      </c>
    </row>
    <row r="10" spans="1:6">
      <c r="A10" s="7">
        <v>6403</v>
      </c>
      <c r="B10" s="22" t="s">
        <v>107</v>
      </c>
      <c r="C10" s="7">
        <v>450</v>
      </c>
      <c r="D10" s="7">
        <v>2757</v>
      </c>
      <c r="E10" s="7">
        <f t="shared" si="0"/>
        <v>1240650</v>
      </c>
      <c r="F10" s="7" t="s">
        <v>53</v>
      </c>
    </row>
    <row r="11" spans="1:6">
      <c r="A11" s="7">
        <v>6165</v>
      </c>
      <c r="B11" s="7" t="s">
        <v>108</v>
      </c>
      <c r="C11" s="7">
        <v>444</v>
      </c>
      <c r="D11" s="7">
        <v>2757</v>
      </c>
      <c r="E11" s="7">
        <f t="shared" si="0"/>
        <v>1224108</v>
      </c>
      <c r="F11" s="7" t="s">
        <v>17</v>
      </c>
    </row>
    <row r="12" spans="3:5">
      <c r="C12" s="8" t="s">
        <v>18</v>
      </c>
      <c r="D12" s="8"/>
      <c r="E12" s="8">
        <f>SUM(E7:E11)</f>
        <v>6186708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E16" sqref="E16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109</v>
      </c>
      <c r="B3" s="1"/>
      <c r="C3" s="1"/>
      <c r="D3" s="1" t="s">
        <v>103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5993</v>
      </c>
      <c r="B7" s="7" t="s">
        <v>110</v>
      </c>
      <c r="C7" s="7">
        <v>350</v>
      </c>
      <c r="D7" s="7">
        <v>2987</v>
      </c>
      <c r="E7" s="7">
        <f t="shared" ref="E7:E24" si="0">C7*D7</f>
        <v>1045450</v>
      </c>
      <c r="F7" s="7" t="s">
        <v>22</v>
      </c>
    </row>
    <row r="8" spans="1:6">
      <c r="A8" s="7">
        <v>6257</v>
      </c>
      <c r="B8" s="22" t="s">
        <v>111</v>
      </c>
      <c r="C8" s="7">
        <v>350</v>
      </c>
      <c r="D8" s="7">
        <v>2987</v>
      </c>
      <c r="E8" s="7">
        <f t="shared" si="0"/>
        <v>1045450</v>
      </c>
      <c r="F8" s="7" t="s">
        <v>22</v>
      </c>
    </row>
    <row r="9" spans="1:6">
      <c r="A9" s="7">
        <v>6261</v>
      </c>
      <c r="B9" s="22" t="s">
        <v>112</v>
      </c>
      <c r="C9" s="7">
        <v>350</v>
      </c>
      <c r="D9" s="7">
        <v>2987</v>
      </c>
      <c r="E9" s="7">
        <f t="shared" si="0"/>
        <v>1045450</v>
      </c>
      <c r="F9" s="7" t="s">
        <v>22</v>
      </c>
    </row>
    <row r="10" spans="1:6">
      <c r="A10" s="7">
        <v>6260</v>
      </c>
      <c r="B10" s="22" t="s">
        <v>113</v>
      </c>
      <c r="C10" s="7">
        <v>350</v>
      </c>
      <c r="D10" s="7">
        <v>2987</v>
      </c>
      <c r="E10" s="7">
        <f t="shared" si="0"/>
        <v>1045450</v>
      </c>
      <c r="F10" s="7" t="s">
        <v>22</v>
      </c>
    </row>
    <row r="11" spans="1:6">
      <c r="A11" s="7">
        <v>6265</v>
      </c>
      <c r="B11" s="7" t="s">
        <v>114</v>
      </c>
      <c r="C11" s="7">
        <v>350</v>
      </c>
      <c r="D11" s="7">
        <v>2987</v>
      </c>
      <c r="E11" s="7">
        <f t="shared" si="0"/>
        <v>1045450</v>
      </c>
      <c r="F11" s="7" t="s">
        <v>22</v>
      </c>
    </row>
    <row r="12" spans="1:6">
      <c r="A12" s="7">
        <v>6267</v>
      </c>
      <c r="B12" s="7" t="s">
        <v>115</v>
      </c>
      <c r="C12" s="7">
        <v>350</v>
      </c>
      <c r="D12" s="7">
        <v>2987</v>
      </c>
      <c r="E12" s="7">
        <f t="shared" si="0"/>
        <v>1045450</v>
      </c>
      <c r="F12" s="7" t="s">
        <v>22</v>
      </c>
    </row>
    <row r="13" spans="1:6">
      <c r="A13" s="7">
        <v>6258</v>
      </c>
      <c r="B13" s="7" t="s">
        <v>116</v>
      </c>
      <c r="C13" s="7">
        <v>350</v>
      </c>
      <c r="D13" s="7">
        <v>2987</v>
      </c>
      <c r="E13" s="7">
        <f t="shared" si="0"/>
        <v>1045450</v>
      </c>
      <c r="F13" s="7" t="s">
        <v>22</v>
      </c>
    </row>
    <row r="14" spans="1:6">
      <c r="A14" s="7">
        <v>6266</v>
      </c>
      <c r="B14" s="7" t="s">
        <v>117</v>
      </c>
      <c r="C14" s="7">
        <v>350</v>
      </c>
      <c r="D14" s="7">
        <v>2987</v>
      </c>
      <c r="E14" s="7">
        <f t="shared" si="0"/>
        <v>1045450</v>
      </c>
      <c r="F14" s="7" t="s">
        <v>22</v>
      </c>
    </row>
    <row r="15" spans="1:6">
      <c r="A15" s="7">
        <v>6262</v>
      </c>
      <c r="B15" s="7" t="s">
        <v>118</v>
      </c>
      <c r="C15" s="7">
        <v>350</v>
      </c>
      <c r="D15" s="7">
        <v>2987</v>
      </c>
      <c r="E15" s="7">
        <f t="shared" si="0"/>
        <v>1045450</v>
      </c>
      <c r="F15" s="7" t="s">
        <v>22</v>
      </c>
    </row>
    <row r="16" spans="1:6">
      <c r="A16" s="7">
        <v>6263</v>
      </c>
      <c r="B16" s="7" t="s">
        <v>119</v>
      </c>
      <c r="C16" s="7">
        <v>350</v>
      </c>
      <c r="D16" s="7">
        <v>2987</v>
      </c>
      <c r="E16" s="7">
        <f t="shared" si="0"/>
        <v>1045450</v>
      </c>
      <c r="F16" s="7" t="s">
        <v>22</v>
      </c>
    </row>
    <row r="17" spans="1:6">
      <c r="A17" s="7">
        <v>6296</v>
      </c>
      <c r="B17" s="7" t="s">
        <v>97</v>
      </c>
      <c r="C17" s="7">
        <v>40</v>
      </c>
      <c r="D17" s="7">
        <v>2987</v>
      </c>
      <c r="E17" s="7">
        <f t="shared" si="0"/>
        <v>119480</v>
      </c>
      <c r="F17" s="7" t="s">
        <v>22</v>
      </c>
    </row>
    <row r="18" spans="1:6">
      <c r="A18" s="7">
        <v>6300</v>
      </c>
      <c r="B18" s="7" t="s">
        <v>98</v>
      </c>
      <c r="C18" s="7">
        <v>40</v>
      </c>
      <c r="D18" s="7">
        <v>2987</v>
      </c>
      <c r="E18" s="7">
        <f t="shared" si="0"/>
        <v>119480</v>
      </c>
      <c r="F18" s="7" t="s">
        <v>22</v>
      </c>
    </row>
    <row r="19" spans="1:6">
      <c r="A19" s="7">
        <v>6297</v>
      </c>
      <c r="B19" s="7" t="s">
        <v>99</v>
      </c>
      <c r="C19" s="7">
        <v>40</v>
      </c>
      <c r="D19" s="7">
        <v>2987</v>
      </c>
      <c r="E19" s="7">
        <f t="shared" si="0"/>
        <v>119480</v>
      </c>
      <c r="F19" s="7" t="s">
        <v>22</v>
      </c>
    </row>
    <row r="20" spans="1:6">
      <c r="A20" s="7">
        <v>6331</v>
      </c>
      <c r="B20" s="7" t="s">
        <v>120</v>
      </c>
      <c r="C20" s="7">
        <v>600</v>
      </c>
      <c r="D20" s="7">
        <v>2987</v>
      </c>
      <c r="E20" s="7">
        <f t="shared" si="0"/>
        <v>1792200</v>
      </c>
      <c r="F20" s="7" t="s">
        <v>13</v>
      </c>
    </row>
    <row r="21" spans="1:6">
      <c r="A21" s="7">
        <v>6333</v>
      </c>
      <c r="B21" s="7" t="s">
        <v>121</v>
      </c>
      <c r="C21" s="7">
        <v>560</v>
      </c>
      <c r="D21" s="7">
        <v>2987</v>
      </c>
      <c r="E21" s="7">
        <f t="shared" si="0"/>
        <v>1672720</v>
      </c>
      <c r="F21" s="7" t="s">
        <v>13</v>
      </c>
    </row>
    <row r="22" spans="1:6">
      <c r="A22" s="7">
        <v>6303</v>
      </c>
      <c r="B22" s="7" t="s">
        <v>122</v>
      </c>
      <c r="C22" s="7">
        <v>560</v>
      </c>
      <c r="D22" s="7">
        <v>2987</v>
      </c>
      <c r="E22" s="7">
        <f t="shared" si="0"/>
        <v>1672720</v>
      </c>
      <c r="F22" s="7" t="s">
        <v>13</v>
      </c>
    </row>
    <row r="23" spans="1:6">
      <c r="A23" s="7">
        <v>5943</v>
      </c>
      <c r="B23" s="7" t="s">
        <v>14</v>
      </c>
      <c r="C23" s="7">
        <v>560</v>
      </c>
      <c r="D23" s="7">
        <v>2987</v>
      </c>
      <c r="E23" s="7">
        <f t="shared" si="0"/>
        <v>1672720</v>
      </c>
      <c r="F23" s="7" t="s">
        <v>13</v>
      </c>
    </row>
    <row r="24" spans="1:6">
      <c r="A24" s="7">
        <v>6223</v>
      </c>
      <c r="B24" s="7" t="s">
        <v>123</v>
      </c>
      <c r="C24" s="7">
        <v>400</v>
      </c>
      <c r="D24" s="7">
        <v>2987</v>
      </c>
      <c r="E24" s="7">
        <f t="shared" si="0"/>
        <v>1194800</v>
      </c>
      <c r="F24" s="7" t="s">
        <v>13</v>
      </c>
    </row>
    <row r="25" spans="3:5">
      <c r="C25" s="8" t="s">
        <v>18</v>
      </c>
      <c r="D25" s="8"/>
      <c r="E25" s="8">
        <f>SUM(E7:E24)</f>
        <v>18818100</v>
      </c>
    </row>
  </sheetData>
  <mergeCells count="7">
    <mergeCell ref="A3:C3"/>
    <mergeCell ref="D3:F3"/>
    <mergeCell ref="A4:C4"/>
    <mergeCell ref="D4:F4"/>
    <mergeCell ref="A5:F5"/>
    <mergeCell ref="C25:D25"/>
    <mergeCell ref="A1:F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5" sqref="A5:F5"/>
    </sheetView>
  </sheetViews>
  <sheetFormatPr defaultColWidth="9" defaultRowHeight="14.25" outlineLevelRow="7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124</v>
      </c>
      <c r="B3" s="1"/>
      <c r="C3" s="1"/>
      <c r="D3" s="1" t="s">
        <v>103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6223</v>
      </c>
      <c r="B7" s="7" t="s">
        <v>123</v>
      </c>
      <c r="C7" s="7">
        <v>50</v>
      </c>
      <c r="D7" s="7">
        <v>1.1</v>
      </c>
      <c r="E7" s="51">
        <f t="shared" ref="E7" si="0">C7*D7</f>
        <v>55</v>
      </c>
      <c r="F7" s="7" t="s">
        <v>13</v>
      </c>
    </row>
    <row r="8" spans="3:5">
      <c r="C8" s="8" t="s">
        <v>18</v>
      </c>
      <c r="D8" s="8"/>
      <c r="E8" s="52">
        <f>SUM(E7:E7)</f>
        <v>55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9" sqref="E9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125</v>
      </c>
      <c r="B3" s="1"/>
      <c r="C3" s="1"/>
      <c r="D3" s="1" t="s">
        <v>103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6298</v>
      </c>
      <c r="B7" s="7" t="s">
        <v>126</v>
      </c>
      <c r="C7" s="7">
        <v>60</v>
      </c>
      <c r="D7" s="7">
        <v>1.1</v>
      </c>
      <c r="E7" s="51">
        <f t="shared" ref="E7:E14" si="0">C7*D7</f>
        <v>66</v>
      </c>
      <c r="F7" s="7" t="s">
        <v>22</v>
      </c>
    </row>
    <row r="8" spans="1:6">
      <c r="A8" s="7">
        <v>6299</v>
      </c>
      <c r="B8" s="7" t="s">
        <v>127</v>
      </c>
      <c r="C8" s="7">
        <v>60</v>
      </c>
      <c r="D8" s="7">
        <v>1.1</v>
      </c>
      <c r="E8" s="51">
        <f t="shared" si="0"/>
        <v>66</v>
      </c>
      <c r="F8" s="7" t="s">
        <v>22</v>
      </c>
    </row>
    <row r="9" spans="1:6">
      <c r="A9" s="7">
        <v>6386</v>
      </c>
      <c r="B9" s="7" t="s">
        <v>128</v>
      </c>
      <c r="C9" s="7">
        <v>40</v>
      </c>
      <c r="D9" s="7">
        <v>1.1</v>
      </c>
      <c r="E9" s="51">
        <f t="shared" si="0"/>
        <v>44</v>
      </c>
      <c r="F9" s="7" t="s">
        <v>22</v>
      </c>
    </row>
    <row r="10" spans="1:6">
      <c r="A10" s="7">
        <v>6382</v>
      </c>
      <c r="B10" s="7" t="s">
        <v>129</v>
      </c>
      <c r="C10" s="7">
        <v>40</v>
      </c>
      <c r="D10" s="7">
        <v>1.1</v>
      </c>
      <c r="E10" s="51">
        <f t="shared" si="0"/>
        <v>44</v>
      </c>
      <c r="F10" s="7" t="s">
        <v>22</v>
      </c>
    </row>
    <row r="11" spans="1:6">
      <c r="A11" s="7">
        <v>6394</v>
      </c>
      <c r="B11" s="7" t="s">
        <v>130</v>
      </c>
      <c r="C11" s="7">
        <v>40</v>
      </c>
      <c r="D11" s="7">
        <v>1.1</v>
      </c>
      <c r="E11" s="51">
        <f t="shared" si="0"/>
        <v>44</v>
      </c>
      <c r="F11" s="7" t="s">
        <v>22</v>
      </c>
    </row>
    <row r="12" spans="1:6">
      <c r="A12" s="7">
        <v>6379</v>
      </c>
      <c r="B12" s="7" t="s">
        <v>131</v>
      </c>
      <c r="C12" s="7">
        <v>40</v>
      </c>
      <c r="D12" s="7">
        <v>1.1</v>
      </c>
      <c r="E12" s="51">
        <f t="shared" si="0"/>
        <v>44</v>
      </c>
      <c r="F12" s="7" t="s">
        <v>22</v>
      </c>
    </row>
    <row r="13" spans="1:6">
      <c r="A13" s="7">
        <v>6388</v>
      </c>
      <c r="B13" s="7" t="s">
        <v>132</v>
      </c>
      <c r="C13" s="7">
        <v>40</v>
      </c>
      <c r="D13" s="7">
        <v>1.1</v>
      </c>
      <c r="E13" s="51">
        <f t="shared" si="0"/>
        <v>44</v>
      </c>
      <c r="F13" s="7" t="s">
        <v>22</v>
      </c>
    </row>
    <row r="14" spans="1:6">
      <c r="A14" s="7">
        <v>6378</v>
      </c>
      <c r="B14" s="7" t="s">
        <v>133</v>
      </c>
      <c r="C14" s="7">
        <v>40</v>
      </c>
      <c r="D14" s="7">
        <v>1.1</v>
      </c>
      <c r="E14" s="51">
        <f t="shared" si="0"/>
        <v>44</v>
      </c>
      <c r="F14" s="7" t="s">
        <v>22</v>
      </c>
    </row>
    <row r="15" spans="3:5">
      <c r="C15" s="8" t="s">
        <v>18</v>
      </c>
      <c r="D15" s="8"/>
      <c r="E15" s="52">
        <f>SUM(E7:E14)</f>
        <v>396</v>
      </c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14" sqref="D14"/>
    </sheetView>
  </sheetViews>
  <sheetFormatPr defaultColWidth="9" defaultRowHeight="14.25" outlineLevelRow="7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134</v>
      </c>
      <c r="B3" s="1"/>
      <c r="C3" s="1"/>
      <c r="D3" s="1" t="s">
        <v>103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6068</v>
      </c>
      <c r="B7" s="7" t="s">
        <v>135</v>
      </c>
      <c r="C7" s="7">
        <v>70</v>
      </c>
      <c r="D7" s="7">
        <v>1.1</v>
      </c>
      <c r="E7" s="51">
        <f t="shared" ref="E7" si="0">C7*D7</f>
        <v>77</v>
      </c>
      <c r="F7" s="7" t="s">
        <v>22</v>
      </c>
    </row>
    <row r="8" spans="3:5">
      <c r="C8" s="8" t="s">
        <v>18</v>
      </c>
      <c r="D8" s="8"/>
      <c r="E8" s="52">
        <f>SUM(E7:E7)</f>
        <v>77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I17" sqref="I17"/>
    </sheetView>
  </sheetViews>
  <sheetFormatPr defaultColWidth="9" defaultRowHeight="14.25" outlineLevelRow="7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136</v>
      </c>
      <c r="B3" s="1"/>
      <c r="C3" s="1"/>
      <c r="D3" s="1" t="s">
        <v>103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6068</v>
      </c>
      <c r="B7" s="7" t="s">
        <v>135</v>
      </c>
      <c r="C7" s="7">
        <v>350</v>
      </c>
      <c r="D7" s="7">
        <v>1.1</v>
      </c>
      <c r="E7" s="51">
        <f t="shared" ref="E7" si="0">C7*D7</f>
        <v>385</v>
      </c>
      <c r="F7" s="7" t="s">
        <v>22</v>
      </c>
    </row>
    <row r="8" spans="3:5">
      <c r="C8" s="8" t="s">
        <v>18</v>
      </c>
      <c r="D8" s="8"/>
      <c r="E8" s="52">
        <f>SUM(E7:E7)</f>
        <v>385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20" sqref="F20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137</v>
      </c>
      <c r="B3" s="1"/>
      <c r="C3" s="1"/>
      <c r="D3" s="1" t="s">
        <v>103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6068</v>
      </c>
      <c r="B7" s="7" t="s">
        <v>135</v>
      </c>
      <c r="C7" s="7">
        <v>40</v>
      </c>
      <c r="D7" s="7">
        <v>2987</v>
      </c>
      <c r="E7" s="7">
        <f t="shared" ref="E7:E9" si="0">C7*D7</f>
        <v>119480</v>
      </c>
      <c r="F7" s="7" t="s">
        <v>22</v>
      </c>
    </row>
    <row r="8" spans="1:6">
      <c r="A8" s="7">
        <v>6321</v>
      </c>
      <c r="B8" s="22" t="s">
        <v>74</v>
      </c>
      <c r="C8" s="7">
        <v>40</v>
      </c>
      <c r="D8" s="7">
        <v>2987</v>
      </c>
      <c r="E8" s="7">
        <f t="shared" si="0"/>
        <v>119480</v>
      </c>
      <c r="F8" s="7" t="s">
        <v>22</v>
      </c>
    </row>
    <row r="9" spans="1:6">
      <c r="A9" s="7">
        <v>6332</v>
      </c>
      <c r="B9" s="7" t="s">
        <v>123</v>
      </c>
      <c r="C9" s="7">
        <v>160</v>
      </c>
      <c r="D9" s="7">
        <v>2987</v>
      </c>
      <c r="E9" s="7">
        <f t="shared" si="0"/>
        <v>477920</v>
      </c>
      <c r="F9" s="7" t="s">
        <v>13</v>
      </c>
    </row>
    <row r="10" spans="3:5">
      <c r="C10" s="8" t="s">
        <v>18</v>
      </c>
      <c r="D10" s="8"/>
      <c r="E10" s="8">
        <f>SUM(E7:E9)</f>
        <v>716880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6" sqref="E6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138</v>
      </c>
      <c r="B3" s="1"/>
      <c r="C3" s="1"/>
      <c r="D3" s="1" t="s">
        <v>103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6367</v>
      </c>
      <c r="B7" s="7" t="s">
        <v>139</v>
      </c>
      <c r="C7" s="7">
        <v>60</v>
      </c>
      <c r="D7" s="7">
        <v>1.1</v>
      </c>
      <c r="E7" s="7">
        <f t="shared" ref="E7:E8" si="0">C7*D7</f>
        <v>66</v>
      </c>
      <c r="F7" s="7" t="s">
        <v>22</v>
      </c>
    </row>
    <row r="8" spans="1:6">
      <c r="A8" s="7">
        <v>6369</v>
      </c>
      <c r="B8" s="22" t="s">
        <v>140</v>
      </c>
      <c r="C8" s="7">
        <v>60</v>
      </c>
      <c r="D8" s="7">
        <v>1.1</v>
      </c>
      <c r="E8" s="7">
        <f t="shared" si="0"/>
        <v>66</v>
      </c>
      <c r="F8" s="7" t="s">
        <v>22</v>
      </c>
    </row>
    <row r="9" spans="3:5">
      <c r="C9" s="8" t="s">
        <v>18</v>
      </c>
      <c r="D9" s="8"/>
      <c r="E9" s="8">
        <f>SUM(E7:E8)</f>
        <v>132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E14" sqref="E14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141</v>
      </c>
      <c r="B3" s="1"/>
      <c r="C3" s="1"/>
      <c r="D3" s="1" t="s">
        <v>142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6355</v>
      </c>
      <c r="B7" s="23" t="s">
        <v>143</v>
      </c>
      <c r="C7" s="7">
        <v>50</v>
      </c>
      <c r="D7" s="7">
        <v>1.1</v>
      </c>
      <c r="E7" s="51">
        <f t="shared" ref="E7:E23" si="0">C7*D7</f>
        <v>55</v>
      </c>
      <c r="F7" s="7" t="s">
        <v>22</v>
      </c>
    </row>
    <row r="8" spans="1:6">
      <c r="A8" s="7">
        <v>6375</v>
      </c>
      <c r="B8" s="23" t="s">
        <v>144</v>
      </c>
      <c r="C8" s="7">
        <v>50</v>
      </c>
      <c r="D8" s="7">
        <v>1.1</v>
      </c>
      <c r="E8" s="51">
        <f t="shared" si="0"/>
        <v>55</v>
      </c>
      <c r="F8" s="7" t="s">
        <v>22</v>
      </c>
    </row>
    <row r="9" spans="1:6">
      <c r="A9" s="7">
        <v>6357</v>
      </c>
      <c r="B9" s="23" t="s">
        <v>145</v>
      </c>
      <c r="C9" s="7">
        <v>50</v>
      </c>
      <c r="D9" s="7">
        <v>1.1</v>
      </c>
      <c r="E9" s="51">
        <f t="shared" si="0"/>
        <v>55</v>
      </c>
      <c r="F9" s="7" t="s">
        <v>22</v>
      </c>
    </row>
    <row r="10" spans="1:6">
      <c r="A10" s="7">
        <v>6373</v>
      </c>
      <c r="B10" s="23" t="s">
        <v>146</v>
      </c>
      <c r="C10" s="7">
        <v>50</v>
      </c>
      <c r="D10" s="7">
        <v>1.1</v>
      </c>
      <c r="E10" s="51">
        <f t="shared" si="0"/>
        <v>55</v>
      </c>
      <c r="F10" s="7" t="s">
        <v>22</v>
      </c>
    </row>
    <row r="11" spans="1:6">
      <c r="A11" s="7">
        <v>6368</v>
      </c>
      <c r="B11" s="23" t="s">
        <v>147</v>
      </c>
      <c r="C11" s="7">
        <v>50</v>
      </c>
      <c r="D11" s="7">
        <v>1.1</v>
      </c>
      <c r="E11" s="51">
        <f t="shared" si="0"/>
        <v>55</v>
      </c>
      <c r="F11" s="7" t="s">
        <v>22</v>
      </c>
    </row>
    <row r="12" spans="1:6">
      <c r="A12" s="7">
        <v>6376</v>
      </c>
      <c r="B12" s="23" t="s">
        <v>148</v>
      </c>
      <c r="C12" s="7">
        <v>50</v>
      </c>
      <c r="D12" s="7">
        <v>1.1</v>
      </c>
      <c r="E12" s="51">
        <f t="shared" si="0"/>
        <v>55</v>
      </c>
      <c r="F12" s="7" t="s">
        <v>22</v>
      </c>
    </row>
    <row r="13" spans="1:6">
      <c r="A13" s="7">
        <v>6370</v>
      </c>
      <c r="B13" s="23" t="s">
        <v>149</v>
      </c>
      <c r="C13" s="7">
        <v>50</v>
      </c>
      <c r="D13" s="7">
        <v>1.1</v>
      </c>
      <c r="E13" s="51">
        <f t="shared" si="0"/>
        <v>55</v>
      </c>
      <c r="F13" s="7" t="s">
        <v>22</v>
      </c>
    </row>
    <row r="14" spans="1:6">
      <c r="A14" s="7">
        <v>6354</v>
      </c>
      <c r="B14" s="23" t="s">
        <v>150</v>
      </c>
      <c r="C14" s="7">
        <v>50</v>
      </c>
      <c r="D14" s="7">
        <v>1.1</v>
      </c>
      <c r="E14" s="51">
        <f t="shared" si="0"/>
        <v>55</v>
      </c>
      <c r="F14" s="7" t="s">
        <v>22</v>
      </c>
    </row>
    <row r="15" spans="1:6">
      <c r="A15" s="7">
        <v>6374</v>
      </c>
      <c r="B15" s="23" t="s">
        <v>151</v>
      </c>
      <c r="C15" s="7">
        <v>50</v>
      </c>
      <c r="D15" s="7">
        <v>1.1</v>
      </c>
      <c r="E15" s="51">
        <f t="shared" si="0"/>
        <v>55</v>
      </c>
      <c r="F15" s="7" t="s">
        <v>22</v>
      </c>
    </row>
    <row r="16" spans="1:6">
      <c r="A16" s="7">
        <v>6359</v>
      </c>
      <c r="B16" s="23" t="s">
        <v>152</v>
      </c>
      <c r="C16" s="7">
        <v>50</v>
      </c>
      <c r="D16" s="7">
        <v>1.1</v>
      </c>
      <c r="E16" s="51">
        <f t="shared" si="0"/>
        <v>55</v>
      </c>
      <c r="F16" s="7" t="s">
        <v>22</v>
      </c>
    </row>
    <row r="17" spans="1:6">
      <c r="A17" s="7">
        <v>6356</v>
      </c>
      <c r="B17" s="23" t="s">
        <v>153</v>
      </c>
      <c r="C17" s="7">
        <v>50</v>
      </c>
      <c r="D17" s="7">
        <v>1.1</v>
      </c>
      <c r="E17" s="51">
        <f t="shared" si="0"/>
        <v>55</v>
      </c>
      <c r="F17" s="7" t="s">
        <v>22</v>
      </c>
    </row>
    <row r="18" spans="1:6">
      <c r="A18" s="7">
        <v>6371</v>
      </c>
      <c r="B18" s="23" t="s">
        <v>154</v>
      </c>
      <c r="C18" s="7">
        <v>50</v>
      </c>
      <c r="D18" s="7">
        <v>1.1</v>
      </c>
      <c r="E18" s="51">
        <f t="shared" si="0"/>
        <v>55</v>
      </c>
      <c r="F18" s="7" t="s">
        <v>22</v>
      </c>
    </row>
    <row r="19" spans="1:6">
      <c r="A19" s="7">
        <v>6369</v>
      </c>
      <c r="B19" s="23" t="s">
        <v>140</v>
      </c>
      <c r="C19" s="7">
        <v>50</v>
      </c>
      <c r="D19" s="7">
        <v>1.1</v>
      </c>
      <c r="E19" s="51">
        <f t="shared" si="0"/>
        <v>55</v>
      </c>
      <c r="F19" s="7" t="s">
        <v>22</v>
      </c>
    </row>
    <row r="20" spans="1:6">
      <c r="A20" s="7">
        <v>6353</v>
      </c>
      <c r="B20" s="23" t="s">
        <v>155</v>
      </c>
      <c r="C20" s="7">
        <v>50</v>
      </c>
      <c r="D20" s="7">
        <v>1.1</v>
      </c>
      <c r="E20" s="51">
        <f t="shared" si="0"/>
        <v>55</v>
      </c>
      <c r="F20" s="7" t="s">
        <v>22</v>
      </c>
    </row>
    <row r="21" spans="1:6">
      <c r="A21" s="7">
        <v>6372</v>
      </c>
      <c r="B21" s="23" t="s">
        <v>156</v>
      </c>
      <c r="C21" s="7">
        <v>50</v>
      </c>
      <c r="D21" s="7">
        <v>1.1</v>
      </c>
      <c r="E21" s="51">
        <f t="shared" si="0"/>
        <v>55</v>
      </c>
      <c r="F21" s="7" t="s">
        <v>22</v>
      </c>
    </row>
    <row r="22" spans="1:6">
      <c r="A22" s="7">
        <v>6358</v>
      </c>
      <c r="B22" s="23" t="s">
        <v>157</v>
      </c>
      <c r="C22" s="7">
        <v>50</v>
      </c>
      <c r="D22" s="7">
        <v>1.1</v>
      </c>
      <c r="E22" s="51">
        <f t="shared" si="0"/>
        <v>55</v>
      </c>
      <c r="F22" s="7" t="s">
        <v>22</v>
      </c>
    </row>
    <row r="23" spans="1:6">
      <c r="A23" s="7">
        <v>6367</v>
      </c>
      <c r="B23" s="23" t="s">
        <v>139</v>
      </c>
      <c r="C23" s="7">
        <v>50</v>
      </c>
      <c r="D23" s="7">
        <v>1.1</v>
      </c>
      <c r="E23" s="51">
        <f t="shared" si="0"/>
        <v>55</v>
      </c>
      <c r="F23" s="7" t="s">
        <v>22</v>
      </c>
    </row>
    <row r="24" spans="3:5">
      <c r="C24" s="7" t="s">
        <v>18</v>
      </c>
      <c r="D24" s="7"/>
      <c r="E24" s="51">
        <f>SUM(E7:E23)</f>
        <v>935</v>
      </c>
    </row>
  </sheetData>
  <mergeCells count="7">
    <mergeCell ref="A3:C3"/>
    <mergeCell ref="D3:F3"/>
    <mergeCell ref="A4:C4"/>
    <mergeCell ref="D4:F4"/>
    <mergeCell ref="A5:F5"/>
    <mergeCell ref="C24:D24"/>
    <mergeCell ref="A1:F2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C12" sqref="C12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158</v>
      </c>
      <c r="B3" s="1"/>
      <c r="C3" s="1"/>
      <c r="D3" s="1" t="s">
        <v>142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6355</v>
      </c>
      <c r="B7" s="23" t="s">
        <v>143</v>
      </c>
      <c r="C7" s="7">
        <v>350</v>
      </c>
      <c r="D7" s="7">
        <v>1.1</v>
      </c>
      <c r="E7" s="51">
        <f t="shared" ref="E7:E23" si="0">C7*D7</f>
        <v>385</v>
      </c>
      <c r="F7" s="7" t="s">
        <v>22</v>
      </c>
    </row>
    <row r="8" spans="1:6">
      <c r="A8" s="7">
        <v>6375</v>
      </c>
      <c r="B8" s="23" t="s">
        <v>144</v>
      </c>
      <c r="C8" s="7">
        <v>350</v>
      </c>
      <c r="D8" s="7">
        <v>1.1</v>
      </c>
      <c r="E8" s="51">
        <f t="shared" si="0"/>
        <v>385</v>
      </c>
      <c r="F8" s="7" t="s">
        <v>22</v>
      </c>
    </row>
    <row r="9" spans="1:6">
      <c r="A9" s="7">
        <v>6357</v>
      </c>
      <c r="B9" s="23" t="s">
        <v>145</v>
      </c>
      <c r="C9" s="7">
        <v>350</v>
      </c>
      <c r="D9" s="7">
        <v>1.1</v>
      </c>
      <c r="E9" s="51">
        <f t="shared" si="0"/>
        <v>385</v>
      </c>
      <c r="F9" s="7" t="s">
        <v>22</v>
      </c>
    </row>
    <row r="10" spans="1:6">
      <c r="A10" s="7">
        <v>6373</v>
      </c>
      <c r="B10" s="23" t="s">
        <v>146</v>
      </c>
      <c r="C10" s="7">
        <v>350</v>
      </c>
      <c r="D10" s="7">
        <v>1.1</v>
      </c>
      <c r="E10" s="51">
        <f t="shared" si="0"/>
        <v>385</v>
      </c>
      <c r="F10" s="7" t="s">
        <v>22</v>
      </c>
    </row>
    <row r="11" spans="1:6">
      <c r="A11" s="7">
        <v>6368</v>
      </c>
      <c r="B11" s="23" t="s">
        <v>147</v>
      </c>
      <c r="C11" s="7">
        <v>350</v>
      </c>
      <c r="D11" s="7">
        <v>1.1</v>
      </c>
      <c r="E11" s="51">
        <f t="shared" si="0"/>
        <v>385</v>
      </c>
      <c r="F11" s="7" t="s">
        <v>22</v>
      </c>
    </row>
    <row r="12" spans="1:6">
      <c r="A12" s="7">
        <v>6376</v>
      </c>
      <c r="B12" s="23" t="s">
        <v>148</v>
      </c>
      <c r="C12" s="7">
        <v>350</v>
      </c>
      <c r="D12" s="7">
        <v>1.1</v>
      </c>
      <c r="E12" s="51">
        <f t="shared" si="0"/>
        <v>385</v>
      </c>
      <c r="F12" s="7" t="s">
        <v>22</v>
      </c>
    </row>
    <row r="13" spans="1:6">
      <c r="A13" s="7">
        <v>6370</v>
      </c>
      <c r="B13" s="23" t="s">
        <v>149</v>
      </c>
      <c r="C13" s="7">
        <v>350</v>
      </c>
      <c r="D13" s="7">
        <v>1.1</v>
      </c>
      <c r="E13" s="51">
        <f t="shared" si="0"/>
        <v>385</v>
      </c>
      <c r="F13" s="7" t="s">
        <v>22</v>
      </c>
    </row>
    <row r="14" spans="1:6">
      <c r="A14" s="7">
        <v>6354</v>
      </c>
      <c r="B14" s="23" t="s">
        <v>150</v>
      </c>
      <c r="C14" s="7">
        <v>350</v>
      </c>
      <c r="D14" s="7">
        <v>1.1</v>
      </c>
      <c r="E14" s="51">
        <f t="shared" si="0"/>
        <v>385</v>
      </c>
      <c r="F14" s="7" t="s">
        <v>22</v>
      </c>
    </row>
    <row r="15" spans="1:6">
      <c r="A15" s="7">
        <v>6374</v>
      </c>
      <c r="B15" s="23" t="s">
        <v>151</v>
      </c>
      <c r="C15" s="7">
        <v>350</v>
      </c>
      <c r="D15" s="7">
        <v>1.1</v>
      </c>
      <c r="E15" s="51">
        <f t="shared" si="0"/>
        <v>385</v>
      </c>
      <c r="F15" s="7" t="s">
        <v>22</v>
      </c>
    </row>
    <row r="16" spans="1:6">
      <c r="A16" s="7">
        <v>6359</v>
      </c>
      <c r="B16" s="23" t="s">
        <v>152</v>
      </c>
      <c r="C16" s="7">
        <v>350</v>
      </c>
      <c r="D16" s="7">
        <v>1.1</v>
      </c>
      <c r="E16" s="51">
        <f t="shared" si="0"/>
        <v>385</v>
      </c>
      <c r="F16" s="7" t="s">
        <v>22</v>
      </c>
    </row>
    <row r="17" spans="1:6">
      <c r="A17" s="7">
        <v>6356</v>
      </c>
      <c r="B17" s="23" t="s">
        <v>153</v>
      </c>
      <c r="C17" s="7">
        <v>350</v>
      </c>
      <c r="D17" s="7">
        <v>1.1</v>
      </c>
      <c r="E17" s="51">
        <f t="shared" si="0"/>
        <v>385</v>
      </c>
      <c r="F17" s="7" t="s">
        <v>22</v>
      </c>
    </row>
    <row r="18" spans="1:6">
      <c r="A18" s="7">
        <v>6371</v>
      </c>
      <c r="B18" s="23" t="s">
        <v>154</v>
      </c>
      <c r="C18" s="7">
        <v>350</v>
      </c>
      <c r="D18" s="7">
        <v>1.1</v>
      </c>
      <c r="E18" s="51">
        <f t="shared" si="0"/>
        <v>385</v>
      </c>
      <c r="F18" s="7" t="s">
        <v>22</v>
      </c>
    </row>
    <row r="19" spans="1:6">
      <c r="A19" s="7">
        <v>6369</v>
      </c>
      <c r="B19" s="23" t="s">
        <v>140</v>
      </c>
      <c r="C19" s="7">
        <v>350</v>
      </c>
      <c r="D19" s="7">
        <v>1.1</v>
      </c>
      <c r="E19" s="51">
        <f t="shared" si="0"/>
        <v>385</v>
      </c>
      <c r="F19" s="7" t="s">
        <v>22</v>
      </c>
    </row>
    <row r="20" spans="1:6">
      <c r="A20" s="7">
        <v>6353</v>
      </c>
      <c r="B20" s="23" t="s">
        <v>155</v>
      </c>
      <c r="C20" s="7">
        <v>350</v>
      </c>
      <c r="D20" s="7">
        <v>1.1</v>
      </c>
      <c r="E20" s="51">
        <f t="shared" si="0"/>
        <v>385</v>
      </c>
      <c r="F20" s="7" t="s">
        <v>22</v>
      </c>
    </row>
    <row r="21" spans="1:6">
      <c r="A21" s="7">
        <v>6372</v>
      </c>
      <c r="B21" s="23" t="s">
        <v>156</v>
      </c>
      <c r="C21" s="7">
        <v>350</v>
      </c>
      <c r="D21" s="7">
        <v>1.1</v>
      </c>
      <c r="E21" s="51">
        <f t="shared" si="0"/>
        <v>385</v>
      </c>
      <c r="F21" s="7" t="s">
        <v>22</v>
      </c>
    </row>
    <row r="22" spans="1:6">
      <c r="A22" s="7">
        <v>6358</v>
      </c>
      <c r="B22" s="23" t="s">
        <v>157</v>
      </c>
      <c r="C22" s="7">
        <v>350</v>
      </c>
      <c r="D22" s="7">
        <v>1.1</v>
      </c>
      <c r="E22" s="51">
        <f t="shared" si="0"/>
        <v>385</v>
      </c>
      <c r="F22" s="7" t="s">
        <v>22</v>
      </c>
    </row>
    <row r="23" spans="1:6">
      <c r="A23" s="7">
        <v>6367</v>
      </c>
      <c r="B23" s="23" t="s">
        <v>139</v>
      </c>
      <c r="C23" s="7">
        <v>350</v>
      </c>
      <c r="D23" s="7">
        <v>1.1</v>
      </c>
      <c r="E23" s="51">
        <f t="shared" si="0"/>
        <v>385</v>
      </c>
      <c r="F23" s="7" t="s">
        <v>22</v>
      </c>
    </row>
    <row r="24" spans="3:5">
      <c r="C24" s="7" t="s">
        <v>18</v>
      </c>
      <c r="D24" s="7"/>
      <c r="E24" s="51">
        <f>SUM(E7:E23)</f>
        <v>6545</v>
      </c>
    </row>
  </sheetData>
  <mergeCells count="7">
    <mergeCell ref="A3:C3"/>
    <mergeCell ref="D3:F3"/>
    <mergeCell ref="A4:C4"/>
    <mergeCell ref="D4:F4"/>
    <mergeCell ref="A5:F5"/>
    <mergeCell ref="C24:D24"/>
    <mergeCell ref="A1:F2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opLeftCell="A2" workbookViewId="0">
      <selection activeCell="E10" sqref="E10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159</v>
      </c>
      <c r="B3" s="1"/>
      <c r="C3" s="1"/>
      <c r="D3" s="1" t="s">
        <v>142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6022</v>
      </c>
      <c r="B7" s="23" t="s">
        <v>144</v>
      </c>
      <c r="C7" s="7">
        <v>60</v>
      </c>
      <c r="D7" s="7">
        <v>1.1</v>
      </c>
      <c r="E7" s="51">
        <f t="shared" ref="E7:E14" si="0">C7*D7</f>
        <v>66</v>
      </c>
      <c r="F7" s="7" t="s">
        <v>22</v>
      </c>
    </row>
    <row r="8" spans="1:6">
      <c r="A8" s="7">
        <v>6024</v>
      </c>
      <c r="B8" s="23" t="s">
        <v>146</v>
      </c>
      <c r="C8" s="7">
        <v>60</v>
      </c>
      <c r="D8" s="7">
        <v>1.1</v>
      </c>
      <c r="E8" s="51">
        <f t="shared" si="0"/>
        <v>66</v>
      </c>
      <c r="F8" s="7" t="s">
        <v>22</v>
      </c>
    </row>
    <row r="9" spans="1:6">
      <c r="A9" s="7">
        <v>6025</v>
      </c>
      <c r="B9" s="23" t="s">
        <v>147</v>
      </c>
      <c r="C9" s="7">
        <v>60</v>
      </c>
      <c r="D9" s="7">
        <v>1.1</v>
      </c>
      <c r="E9" s="51">
        <f t="shared" si="0"/>
        <v>66</v>
      </c>
      <c r="F9" s="7" t="s">
        <v>22</v>
      </c>
    </row>
    <row r="10" spans="1:6">
      <c r="A10" s="7">
        <v>6026</v>
      </c>
      <c r="B10" s="23" t="s">
        <v>148</v>
      </c>
      <c r="C10" s="7">
        <v>60</v>
      </c>
      <c r="D10" s="7">
        <v>1.1</v>
      </c>
      <c r="E10" s="51">
        <f t="shared" si="0"/>
        <v>66</v>
      </c>
      <c r="F10" s="7" t="s">
        <v>22</v>
      </c>
    </row>
    <row r="11" spans="1:6">
      <c r="A11" s="7">
        <v>6027</v>
      </c>
      <c r="B11" s="23" t="s">
        <v>149</v>
      </c>
      <c r="C11" s="7">
        <v>60</v>
      </c>
      <c r="D11" s="7">
        <v>1.1</v>
      </c>
      <c r="E11" s="51">
        <f t="shared" si="0"/>
        <v>66</v>
      </c>
      <c r="F11" s="7" t="s">
        <v>22</v>
      </c>
    </row>
    <row r="12" spans="1:6">
      <c r="A12" s="7">
        <v>6029</v>
      </c>
      <c r="B12" s="23" t="s">
        <v>151</v>
      </c>
      <c r="C12" s="7">
        <v>60</v>
      </c>
      <c r="D12" s="7">
        <v>1.1</v>
      </c>
      <c r="E12" s="51">
        <f t="shared" si="0"/>
        <v>66</v>
      </c>
      <c r="F12" s="7" t="s">
        <v>22</v>
      </c>
    </row>
    <row r="13" spans="1:6">
      <c r="A13" s="7">
        <v>6032</v>
      </c>
      <c r="B13" s="23" t="s">
        <v>154</v>
      </c>
      <c r="C13" s="7">
        <v>60</v>
      </c>
      <c r="D13" s="7">
        <v>1.1</v>
      </c>
      <c r="E13" s="51">
        <f t="shared" si="0"/>
        <v>66</v>
      </c>
      <c r="F13" s="7" t="s">
        <v>22</v>
      </c>
    </row>
    <row r="14" spans="1:6">
      <c r="A14" s="7">
        <v>6035</v>
      </c>
      <c r="B14" s="23" t="s">
        <v>156</v>
      </c>
      <c r="C14" s="7">
        <v>60</v>
      </c>
      <c r="D14" s="7">
        <v>1.1</v>
      </c>
      <c r="E14" s="51">
        <f t="shared" si="0"/>
        <v>66</v>
      </c>
      <c r="F14" s="7" t="s">
        <v>22</v>
      </c>
    </row>
    <row r="15" spans="3:5">
      <c r="C15" s="7" t="s">
        <v>18</v>
      </c>
      <c r="D15" s="7"/>
      <c r="E15" s="51">
        <f>SUM(E7:E14)</f>
        <v>528</v>
      </c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3" sqref="F13"/>
    </sheetView>
  </sheetViews>
  <sheetFormatPr defaultColWidth="9" defaultRowHeight="14.25" outlineLevelRow="7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160</v>
      </c>
      <c r="B3" s="1"/>
      <c r="C3" s="1"/>
      <c r="D3" s="1" t="s">
        <v>142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6385</v>
      </c>
      <c r="B7" s="23" t="s">
        <v>161</v>
      </c>
      <c r="C7" s="7">
        <v>60</v>
      </c>
      <c r="D7" s="7">
        <v>1.1</v>
      </c>
      <c r="E7" s="51">
        <f t="shared" ref="E7" si="0">C7*D7</f>
        <v>66</v>
      </c>
      <c r="F7" s="7" t="s">
        <v>22</v>
      </c>
    </row>
    <row r="8" spans="3:5">
      <c r="C8" s="5" t="s">
        <v>18</v>
      </c>
      <c r="D8" s="49"/>
      <c r="E8" s="51">
        <f>SUM(E7:E7)</f>
        <v>66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13" sqref="D13"/>
    </sheetView>
  </sheetViews>
  <sheetFormatPr defaultColWidth="9" defaultRowHeight="14.25" outlineLevelRow="7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162</v>
      </c>
      <c r="B3" s="1"/>
      <c r="C3" s="1"/>
      <c r="D3" s="1" t="s">
        <v>142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6112</v>
      </c>
      <c r="B7" s="23" t="s">
        <v>163</v>
      </c>
      <c r="C7" s="7">
        <v>100</v>
      </c>
      <c r="D7" s="7">
        <v>2875</v>
      </c>
      <c r="E7" s="7">
        <f t="shared" ref="E7" si="0">C7*D7</f>
        <v>287500</v>
      </c>
      <c r="F7" s="7" t="s">
        <v>22</v>
      </c>
    </row>
    <row r="8" spans="3:5">
      <c r="C8" s="5" t="s">
        <v>18</v>
      </c>
      <c r="D8" s="49"/>
      <c r="E8" s="7">
        <f>SUM(E7:E7)</f>
        <v>287500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2"/>
    </sheetView>
  </sheetViews>
  <sheetFormatPr defaultColWidth="9" defaultRowHeight="14.25" outlineLevelRow="7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164</v>
      </c>
      <c r="B3" s="1"/>
      <c r="C3" s="1"/>
      <c r="D3" s="1" t="s">
        <v>142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6112</v>
      </c>
      <c r="B7" s="23" t="s">
        <v>163</v>
      </c>
      <c r="C7" s="7">
        <v>400</v>
      </c>
      <c r="D7" s="7">
        <v>2757</v>
      </c>
      <c r="E7" s="7">
        <f t="shared" ref="E7" si="0">C7*D7</f>
        <v>1102800</v>
      </c>
      <c r="F7" s="7" t="s">
        <v>22</v>
      </c>
    </row>
    <row r="8" spans="3:5">
      <c r="C8" s="5" t="s">
        <v>18</v>
      </c>
      <c r="D8" s="49"/>
      <c r="E8" s="7">
        <f>SUM(E7:E7)</f>
        <v>1102800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L26" sqref="L26"/>
    </sheetView>
  </sheetViews>
  <sheetFormatPr defaultColWidth="9" defaultRowHeight="14.25" outlineLevelCol="5"/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165</v>
      </c>
      <c r="B3" s="1"/>
      <c r="C3" s="1"/>
      <c r="D3" s="1" t="s">
        <v>142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6184</v>
      </c>
      <c r="B7" s="23" t="s">
        <v>166</v>
      </c>
      <c r="C7" s="7">
        <v>450</v>
      </c>
      <c r="D7" s="7">
        <v>2757</v>
      </c>
      <c r="E7" s="7">
        <f t="shared" ref="E7:E14" si="0">C7*D7</f>
        <v>1240650</v>
      </c>
      <c r="F7" s="7" t="s">
        <v>17</v>
      </c>
    </row>
    <row r="8" spans="1:6">
      <c r="A8" s="7">
        <v>6170</v>
      </c>
      <c r="B8" s="23" t="s">
        <v>167</v>
      </c>
      <c r="C8" s="7">
        <v>450</v>
      </c>
      <c r="D8" s="7">
        <v>2757</v>
      </c>
      <c r="E8" s="7">
        <f t="shared" si="0"/>
        <v>1240650</v>
      </c>
      <c r="F8" s="7" t="s">
        <v>17</v>
      </c>
    </row>
    <row r="9" spans="1:6">
      <c r="A9" s="7">
        <v>6343</v>
      </c>
      <c r="B9" s="23" t="s">
        <v>168</v>
      </c>
      <c r="C9" s="7">
        <v>450</v>
      </c>
      <c r="D9" s="7">
        <v>2757</v>
      </c>
      <c r="E9" s="7">
        <f t="shared" si="0"/>
        <v>1240650</v>
      </c>
      <c r="F9" s="7" t="s">
        <v>13</v>
      </c>
    </row>
    <row r="10" spans="1:6">
      <c r="A10" s="7">
        <v>6352</v>
      </c>
      <c r="B10" s="23" t="s">
        <v>169</v>
      </c>
      <c r="C10" s="7">
        <v>450</v>
      </c>
      <c r="D10" s="7">
        <v>2757</v>
      </c>
      <c r="E10" s="7">
        <f t="shared" si="0"/>
        <v>1240650</v>
      </c>
      <c r="F10" s="7" t="s">
        <v>13</v>
      </c>
    </row>
    <row r="11" spans="1:6">
      <c r="A11" s="7">
        <v>6344</v>
      </c>
      <c r="B11" s="23" t="s">
        <v>170</v>
      </c>
      <c r="C11" s="7">
        <v>450</v>
      </c>
      <c r="D11" s="7">
        <v>2757</v>
      </c>
      <c r="E11" s="7">
        <f t="shared" si="0"/>
        <v>1240650</v>
      </c>
      <c r="F11" s="7" t="s">
        <v>13</v>
      </c>
    </row>
    <row r="12" spans="1:6">
      <c r="A12" s="7">
        <v>6345</v>
      </c>
      <c r="B12" s="23" t="s">
        <v>171</v>
      </c>
      <c r="C12" s="7">
        <v>450</v>
      </c>
      <c r="D12" s="7">
        <v>2757</v>
      </c>
      <c r="E12" s="7">
        <f t="shared" si="0"/>
        <v>1240650</v>
      </c>
      <c r="F12" s="7" t="s">
        <v>13</v>
      </c>
    </row>
    <row r="13" spans="1:6">
      <c r="A13" s="7">
        <v>6198</v>
      </c>
      <c r="B13" s="23" t="s">
        <v>172</v>
      </c>
      <c r="C13" s="7">
        <v>450</v>
      </c>
      <c r="D13" s="7">
        <v>2757</v>
      </c>
      <c r="E13" s="7">
        <f t="shared" si="0"/>
        <v>1240650</v>
      </c>
      <c r="F13" s="7" t="s">
        <v>13</v>
      </c>
    </row>
    <row r="14" spans="1:6">
      <c r="A14" s="7">
        <v>6402</v>
      </c>
      <c r="B14" s="23" t="s">
        <v>173</v>
      </c>
      <c r="C14" s="7">
        <v>450</v>
      </c>
      <c r="D14" s="7">
        <v>2757</v>
      </c>
      <c r="E14" s="7">
        <f t="shared" si="0"/>
        <v>1240650</v>
      </c>
      <c r="F14" s="7" t="s">
        <v>53</v>
      </c>
    </row>
    <row r="15" spans="3:5">
      <c r="C15" s="9" t="s">
        <v>18</v>
      </c>
      <c r="D15" s="53"/>
      <c r="E15" s="8">
        <f>SUM(E7:E14)</f>
        <v>9925200</v>
      </c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J19" sqref="J19"/>
    </sheetView>
  </sheetViews>
  <sheetFormatPr defaultColWidth="9" defaultRowHeight="14.25" outlineLevelCol="5"/>
  <cols>
    <col min="5" max="5" width="8.88333333333333" style="50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174</v>
      </c>
      <c r="B3" s="1"/>
      <c r="C3" s="1"/>
      <c r="D3" s="1" t="s">
        <v>142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6340</v>
      </c>
      <c r="B7" s="23" t="s">
        <v>175</v>
      </c>
      <c r="C7" s="7">
        <v>600</v>
      </c>
      <c r="D7" s="7">
        <v>1.1</v>
      </c>
      <c r="E7" s="51">
        <f>C7*D7</f>
        <v>660</v>
      </c>
      <c r="F7" s="7" t="s">
        <v>13</v>
      </c>
    </row>
    <row r="8" spans="1:6">
      <c r="A8" s="7">
        <v>6346</v>
      </c>
      <c r="B8" s="23" t="s">
        <v>176</v>
      </c>
      <c r="C8" s="7">
        <v>560</v>
      </c>
      <c r="D8" s="7">
        <v>1.1</v>
      </c>
      <c r="E8" s="51">
        <f t="shared" ref="E8:E11" si="0">C8*D8</f>
        <v>616</v>
      </c>
      <c r="F8" s="7" t="s">
        <v>13</v>
      </c>
    </row>
    <row r="9" spans="1:6">
      <c r="A9" s="7">
        <v>6334</v>
      </c>
      <c r="B9" s="23" t="s">
        <v>177</v>
      </c>
      <c r="C9" s="7">
        <v>560</v>
      </c>
      <c r="D9" s="7">
        <v>1.1</v>
      </c>
      <c r="E9" s="51">
        <f t="shared" si="0"/>
        <v>616</v>
      </c>
      <c r="F9" s="7" t="s">
        <v>13</v>
      </c>
    </row>
    <row r="10" spans="1:6">
      <c r="A10" s="7">
        <v>6336</v>
      </c>
      <c r="B10" s="23" t="s">
        <v>178</v>
      </c>
      <c r="C10" s="7">
        <v>560</v>
      </c>
      <c r="D10" s="7">
        <v>1.1</v>
      </c>
      <c r="E10" s="51">
        <f t="shared" si="0"/>
        <v>616</v>
      </c>
      <c r="F10" s="7" t="s">
        <v>13</v>
      </c>
    </row>
    <row r="11" spans="1:6">
      <c r="A11" s="7">
        <v>6351</v>
      </c>
      <c r="B11" s="23" t="s">
        <v>179</v>
      </c>
      <c r="C11" s="7">
        <v>600</v>
      </c>
      <c r="D11" s="7">
        <v>1.1</v>
      </c>
      <c r="E11" s="51">
        <f t="shared" si="0"/>
        <v>660</v>
      </c>
      <c r="F11" s="7" t="s">
        <v>13</v>
      </c>
    </row>
    <row r="12" spans="3:5">
      <c r="C12" s="7" t="s">
        <v>18</v>
      </c>
      <c r="D12" s="7"/>
      <c r="E12" s="51">
        <f>SUM(E7:E11)</f>
        <v>3168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6" sqref="D16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180</v>
      </c>
      <c r="B3" s="1"/>
      <c r="C3" s="1"/>
      <c r="D3" s="1" t="s">
        <v>181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6052</v>
      </c>
      <c r="B7" s="23" t="s">
        <v>182</v>
      </c>
      <c r="C7" s="7">
        <v>350</v>
      </c>
      <c r="D7" s="7">
        <v>2987</v>
      </c>
      <c r="E7" s="7">
        <f>C7*D7</f>
        <v>1045450</v>
      </c>
      <c r="F7" s="7" t="s">
        <v>22</v>
      </c>
    </row>
    <row r="8" spans="1:6">
      <c r="A8" s="7">
        <v>6300</v>
      </c>
      <c r="B8" s="23" t="s">
        <v>98</v>
      </c>
      <c r="C8" s="7">
        <v>350</v>
      </c>
      <c r="D8" s="7">
        <v>2987</v>
      </c>
      <c r="E8" s="7">
        <f t="shared" ref="E8:E22" si="0">C8*D8</f>
        <v>1045450</v>
      </c>
      <c r="F8" s="7" t="s">
        <v>22</v>
      </c>
    </row>
    <row r="9" spans="1:6">
      <c r="A9" s="7">
        <v>6296</v>
      </c>
      <c r="B9" s="23" t="s">
        <v>97</v>
      </c>
      <c r="C9" s="7">
        <v>350</v>
      </c>
      <c r="D9" s="7">
        <v>2987</v>
      </c>
      <c r="E9" s="7">
        <f t="shared" si="0"/>
        <v>1045450</v>
      </c>
      <c r="F9" s="7" t="s">
        <v>22</v>
      </c>
    </row>
    <row r="10" spans="1:6">
      <c r="A10" s="7">
        <v>6220</v>
      </c>
      <c r="B10" s="23" t="s">
        <v>183</v>
      </c>
      <c r="C10" s="7">
        <v>380</v>
      </c>
      <c r="D10" s="7">
        <v>2987</v>
      </c>
      <c r="E10" s="7">
        <f t="shared" si="0"/>
        <v>1135060</v>
      </c>
      <c r="F10" s="7" t="s">
        <v>17</v>
      </c>
    </row>
    <row r="11" spans="1:6">
      <c r="A11" s="7">
        <v>6297</v>
      </c>
      <c r="B11" s="23" t="s">
        <v>99</v>
      </c>
      <c r="C11" s="7">
        <v>350</v>
      </c>
      <c r="D11" s="7">
        <v>2987</v>
      </c>
      <c r="E11" s="7">
        <f t="shared" si="0"/>
        <v>1045450</v>
      </c>
      <c r="F11" s="7" t="s">
        <v>22</v>
      </c>
    </row>
    <row r="12" spans="1:6">
      <c r="A12" s="7">
        <v>6321</v>
      </c>
      <c r="B12" s="23" t="s">
        <v>74</v>
      </c>
      <c r="C12" s="7">
        <v>350</v>
      </c>
      <c r="D12" s="7">
        <v>2987</v>
      </c>
      <c r="E12" s="7">
        <f t="shared" si="0"/>
        <v>1045450</v>
      </c>
      <c r="F12" s="7" t="s">
        <v>22</v>
      </c>
    </row>
    <row r="13" spans="1:6">
      <c r="A13" s="7">
        <v>6307</v>
      </c>
      <c r="B13" s="23" t="s">
        <v>184</v>
      </c>
      <c r="C13" s="7">
        <v>560</v>
      </c>
      <c r="D13" s="7">
        <v>2987</v>
      </c>
      <c r="E13" s="7">
        <f t="shared" si="0"/>
        <v>1672720</v>
      </c>
      <c r="F13" s="7" t="s">
        <v>13</v>
      </c>
    </row>
    <row r="14" spans="1:6">
      <c r="A14" s="7">
        <v>6176</v>
      </c>
      <c r="B14" s="23" t="s">
        <v>185</v>
      </c>
      <c r="C14" s="7">
        <v>400</v>
      </c>
      <c r="D14" s="7">
        <v>2987</v>
      </c>
      <c r="E14" s="7">
        <f t="shared" si="0"/>
        <v>1194800</v>
      </c>
      <c r="F14" s="7" t="s">
        <v>17</v>
      </c>
    </row>
    <row r="15" spans="1:6">
      <c r="A15" s="7">
        <v>5926</v>
      </c>
      <c r="B15" s="23" t="s">
        <v>15</v>
      </c>
      <c r="C15" s="7">
        <v>560</v>
      </c>
      <c r="D15" s="7">
        <v>2987</v>
      </c>
      <c r="E15" s="7">
        <f t="shared" si="0"/>
        <v>1672720</v>
      </c>
      <c r="F15" s="7" t="s">
        <v>13</v>
      </c>
    </row>
    <row r="16" spans="1:6">
      <c r="A16" s="7">
        <v>6126</v>
      </c>
      <c r="B16" s="23" t="s">
        <v>90</v>
      </c>
      <c r="C16" s="7">
        <v>538</v>
      </c>
      <c r="D16" s="7">
        <v>2987</v>
      </c>
      <c r="E16" s="7">
        <f t="shared" si="0"/>
        <v>1607006</v>
      </c>
      <c r="F16" s="7" t="s">
        <v>13</v>
      </c>
    </row>
    <row r="17" spans="1:6">
      <c r="A17" s="7">
        <v>6212</v>
      </c>
      <c r="B17" s="23" t="s">
        <v>12</v>
      </c>
      <c r="C17" s="7">
        <v>600</v>
      </c>
      <c r="D17" s="7">
        <v>2987</v>
      </c>
      <c r="E17" s="7">
        <f t="shared" si="0"/>
        <v>1792200</v>
      </c>
      <c r="F17" s="7" t="s">
        <v>13</v>
      </c>
    </row>
    <row r="18" spans="1:6">
      <c r="A18" s="7">
        <v>6182</v>
      </c>
      <c r="B18" s="23" t="s">
        <v>186</v>
      </c>
      <c r="C18" s="7">
        <v>380</v>
      </c>
      <c r="D18" s="7">
        <v>2987</v>
      </c>
      <c r="E18" s="7">
        <f t="shared" si="0"/>
        <v>1135060</v>
      </c>
      <c r="F18" s="7" t="s">
        <v>17</v>
      </c>
    </row>
    <row r="19" spans="1:6">
      <c r="A19" s="7">
        <v>6177</v>
      </c>
      <c r="B19" s="23" t="s">
        <v>187</v>
      </c>
      <c r="C19" s="7">
        <v>380</v>
      </c>
      <c r="D19" s="7">
        <v>2987</v>
      </c>
      <c r="E19" s="7">
        <f t="shared" si="0"/>
        <v>1135060</v>
      </c>
      <c r="F19" s="7" t="s">
        <v>17</v>
      </c>
    </row>
    <row r="20" spans="1:6">
      <c r="A20" s="7">
        <v>6161</v>
      </c>
      <c r="B20" s="23" t="s">
        <v>188</v>
      </c>
      <c r="C20" s="7">
        <v>400</v>
      </c>
      <c r="D20" s="7">
        <v>2987</v>
      </c>
      <c r="E20" s="7">
        <f t="shared" si="0"/>
        <v>1194800</v>
      </c>
      <c r="F20" s="7" t="s">
        <v>189</v>
      </c>
    </row>
    <row r="21" spans="1:6">
      <c r="A21" s="7">
        <v>6208</v>
      </c>
      <c r="B21" s="23" t="s">
        <v>190</v>
      </c>
      <c r="C21" s="7">
        <v>560</v>
      </c>
      <c r="D21" s="7">
        <v>2987</v>
      </c>
      <c r="E21" s="7">
        <f t="shared" si="0"/>
        <v>1672720</v>
      </c>
      <c r="F21" s="7" t="s">
        <v>13</v>
      </c>
    </row>
    <row r="22" spans="1:6">
      <c r="A22" s="7">
        <v>6025</v>
      </c>
      <c r="B22" s="23" t="s">
        <v>147</v>
      </c>
      <c r="C22" s="7">
        <v>60</v>
      </c>
      <c r="D22" s="7">
        <v>2987</v>
      </c>
      <c r="E22" s="7">
        <f t="shared" si="0"/>
        <v>179220</v>
      </c>
      <c r="F22" s="7" t="s">
        <v>22</v>
      </c>
    </row>
    <row r="23" spans="3:5">
      <c r="C23" s="8" t="s">
        <v>18</v>
      </c>
      <c r="D23" s="8"/>
      <c r="E23" s="8">
        <f>SUM(E7:E22)</f>
        <v>19618616</v>
      </c>
    </row>
  </sheetData>
  <mergeCells count="7">
    <mergeCell ref="A3:C3"/>
    <mergeCell ref="D3:F3"/>
    <mergeCell ref="A4:C4"/>
    <mergeCell ref="D4:F4"/>
    <mergeCell ref="A5:F5"/>
    <mergeCell ref="C23:D23"/>
    <mergeCell ref="A1:F2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7" sqref="E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191</v>
      </c>
      <c r="B3" s="1"/>
      <c r="C3" s="1"/>
      <c r="D3" s="1" t="s">
        <v>181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6195</v>
      </c>
      <c r="B7" s="23" t="s">
        <v>192</v>
      </c>
      <c r="C7" s="7">
        <v>55</v>
      </c>
      <c r="D7" s="7">
        <v>2710</v>
      </c>
      <c r="E7" s="7">
        <f>C7*D7</f>
        <v>149050</v>
      </c>
      <c r="F7" s="7" t="s">
        <v>13</v>
      </c>
    </row>
    <row r="8" spans="1:6">
      <c r="A8" s="7">
        <v>6214</v>
      </c>
      <c r="B8" s="23" t="s">
        <v>193</v>
      </c>
      <c r="C8" s="7">
        <v>85</v>
      </c>
      <c r="D8" s="7">
        <v>2710</v>
      </c>
      <c r="E8" s="7">
        <f t="shared" ref="E8" si="0">C8*D8</f>
        <v>230350</v>
      </c>
      <c r="F8" s="7" t="s">
        <v>13</v>
      </c>
    </row>
    <row r="9" spans="3:5">
      <c r="C9" s="8" t="s">
        <v>18</v>
      </c>
      <c r="D9" s="8"/>
      <c r="E9" s="8">
        <f>SUM(E7:E8)</f>
        <v>379400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11" sqref="D11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194</v>
      </c>
      <c r="B3" s="1"/>
      <c r="C3" s="1"/>
      <c r="D3" s="1" t="s">
        <v>181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6201</v>
      </c>
      <c r="B7" s="23" t="s">
        <v>195</v>
      </c>
      <c r="C7" s="7">
        <v>60</v>
      </c>
      <c r="D7" s="7">
        <v>2710</v>
      </c>
      <c r="E7" s="7">
        <f>C7*D7</f>
        <v>162600</v>
      </c>
      <c r="F7" s="7" t="s">
        <v>13</v>
      </c>
    </row>
    <row r="8" spans="3:5">
      <c r="C8" s="8" t="s">
        <v>18</v>
      </c>
      <c r="D8" s="8"/>
      <c r="E8" s="8">
        <f>SUM(E7:E7)</f>
        <v>162600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7" sqref="E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196</v>
      </c>
      <c r="B3" s="1"/>
      <c r="C3" s="1"/>
      <c r="D3" s="1" t="s">
        <v>181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6395</v>
      </c>
      <c r="B7" s="7" t="s">
        <v>197</v>
      </c>
      <c r="C7" s="7">
        <v>450</v>
      </c>
      <c r="D7" s="7">
        <v>2757</v>
      </c>
      <c r="E7" s="7">
        <f>C7*D7</f>
        <v>1240650</v>
      </c>
      <c r="F7" s="7" t="s">
        <v>13</v>
      </c>
    </row>
    <row r="8" spans="1:6">
      <c r="A8" s="7">
        <v>6196</v>
      </c>
      <c r="B8" s="22" t="s">
        <v>198</v>
      </c>
      <c r="C8" s="7">
        <v>450</v>
      </c>
      <c r="D8" s="7">
        <v>2757</v>
      </c>
      <c r="E8" s="7">
        <f t="shared" ref="E8:E9" si="0">C8*D8</f>
        <v>1240650</v>
      </c>
      <c r="F8" s="7" t="s">
        <v>13</v>
      </c>
    </row>
    <row r="9" spans="1:6">
      <c r="A9" s="7">
        <v>6195</v>
      </c>
      <c r="B9" s="22" t="s">
        <v>192</v>
      </c>
      <c r="C9" s="7">
        <v>450</v>
      </c>
      <c r="D9" s="7">
        <v>2757</v>
      </c>
      <c r="E9" s="7">
        <f t="shared" si="0"/>
        <v>1240650</v>
      </c>
      <c r="F9" s="7" t="s">
        <v>13</v>
      </c>
    </row>
    <row r="10" spans="3:5">
      <c r="C10" s="8" t="s">
        <v>18</v>
      </c>
      <c r="D10" s="8"/>
      <c r="E10" s="8">
        <f>SUM(E7:E9)</f>
        <v>3721950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8" sqref="E8"/>
    </sheetView>
  </sheetViews>
  <sheetFormatPr defaultColWidth="9" defaultRowHeight="14.25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199</v>
      </c>
      <c r="B3" s="1"/>
      <c r="C3" s="1"/>
      <c r="D3" s="1" t="s">
        <v>181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6405</v>
      </c>
      <c r="B7" s="7" t="s">
        <v>83</v>
      </c>
      <c r="C7" s="7">
        <v>80</v>
      </c>
      <c r="D7" s="7">
        <v>1.1</v>
      </c>
      <c r="E7" s="51">
        <f>C7*D7</f>
        <v>88</v>
      </c>
      <c r="F7" s="7" t="s">
        <v>22</v>
      </c>
    </row>
    <row r="8" spans="1:6">
      <c r="A8" s="7">
        <v>6251</v>
      </c>
      <c r="B8" s="22" t="s">
        <v>88</v>
      </c>
      <c r="C8" s="7">
        <v>20</v>
      </c>
      <c r="D8" s="7">
        <v>1.1</v>
      </c>
      <c r="E8" s="51">
        <f t="shared" ref="E8:E9" si="0">C8*D8</f>
        <v>22</v>
      </c>
      <c r="F8" s="7" t="s">
        <v>22</v>
      </c>
    </row>
    <row r="9" spans="1:6">
      <c r="A9" s="7">
        <v>6256</v>
      </c>
      <c r="B9" s="22" t="s">
        <v>87</v>
      </c>
      <c r="C9" s="7">
        <v>20</v>
      </c>
      <c r="D9" s="7">
        <v>1.1</v>
      </c>
      <c r="E9" s="51">
        <f t="shared" si="0"/>
        <v>22</v>
      </c>
      <c r="F9" s="7" t="s">
        <v>22</v>
      </c>
    </row>
    <row r="10" spans="3:5">
      <c r="C10" s="8" t="s">
        <v>18</v>
      </c>
      <c r="D10" s="8"/>
      <c r="E10" s="52">
        <f>SUM(E7:E9)</f>
        <v>132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3" workbookViewId="0">
      <selection activeCell="C16" sqref="C16"/>
    </sheetView>
  </sheetViews>
  <sheetFormatPr defaultColWidth="9" defaultRowHeight="14.25" outlineLevelCol="5"/>
  <cols>
    <col min="5" max="5" width="12.4416666666667" style="50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200</v>
      </c>
      <c r="B3" s="1"/>
      <c r="C3" s="1"/>
      <c r="D3" s="1" t="s">
        <v>201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6341</v>
      </c>
      <c r="B7" s="7" t="s">
        <v>202</v>
      </c>
      <c r="C7" s="7">
        <v>260</v>
      </c>
      <c r="D7" s="7">
        <v>1.1</v>
      </c>
      <c r="E7" s="51">
        <f>C7*D7</f>
        <v>286</v>
      </c>
      <c r="F7" s="7" t="s">
        <v>203</v>
      </c>
    </row>
    <row r="8" spans="1:6">
      <c r="A8" s="7">
        <v>6342</v>
      </c>
      <c r="B8" s="22" t="s">
        <v>204</v>
      </c>
      <c r="C8" s="7">
        <v>260</v>
      </c>
      <c r="D8" s="7">
        <v>1.1</v>
      </c>
      <c r="E8" s="51">
        <f t="shared" ref="E8:E25" si="0">C8*D8</f>
        <v>286</v>
      </c>
      <c r="F8" s="7" t="s">
        <v>203</v>
      </c>
    </row>
    <row r="9" spans="1:6">
      <c r="A9" s="7">
        <v>6123</v>
      </c>
      <c r="B9" s="22" t="s">
        <v>104</v>
      </c>
      <c r="C9" s="7">
        <v>580</v>
      </c>
      <c r="D9" s="7">
        <v>1.1</v>
      </c>
      <c r="E9" s="51">
        <f t="shared" si="0"/>
        <v>638</v>
      </c>
      <c r="F9" s="7" t="s">
        <v>13</v>
      </c>
    </row>
    <row r="10" spans="1:6">
      <c r="A10" s="7">
        <v>6400</v>
      </c>
      <c r="B10" s="22" t="s">
        <v>66</v>
      </c>
      <c r="C10" s="7">
        <v>560</v>
      </c>
      <c r="D10" s="7">
        <v>1.1</v>
      </c>
      <c r="E10" s="51">
        <f t="shared" si="0"/>
        <v>616</v>
      </c>
      <c r="F10" s="7" t="s">
        <v>13</v>
      </c>
    </row>
    <row r="11" spans="1:6">
      <c r="A11" s="7">
        <v>6210</v>
      </c>
      <c r="B11" s="22" t="s">
        <v>205</v>
      </c>
      <c r="C11" s="7">
        <v>580</v>
      </c>
      <c r="D11" s="7">
        <v>1.1</v>
      </c>
      <c r="E11" s="51">
        <f t="shared" si="0"/>
        <v>638</v>
      </c>
      <c r="F11" s="7" t="s">
        <v>13</v>
      </c>
    </row>
    <row r="12" spans="1:6">
      <c r="A12" s="7">
        <v>6181</v>
      </c>
      <c r="B12" s="22" t="s">
        <v>206</v>
      </c>
      <c r="C12" s="7">
        <v>420</v>
      </c>
      <c r="D12" s="7">
        <v>1.1</v>
      </c>
      <c r="E12" s="51">
        <f t="shared" si="0"/>
        <v>462</v>
      </c>
      <c r="F12" s="7" t="s">
        <v>17</v>
      </c>
    </row>
    <row r="13" spans="1:6">
      <c r="A13" s="7">
        <v>6337</v>
      </c>
      <c r="B13" s="22" t="s">
        <v>207</v>
      </c>
      <c r="C13" s="7">
        <v>600</v>
      </c>
      <c r="D13" s="7">
        <v>1.1</v>
      </c>
      <c r="E13" s="51">
        <f t="shared" si="0"/>
        <v>660</v>
      </c>
      <c r="F13" s="7" t="s">
        <v>13</v>
      </c>
    </row>
    <row r="14" spans="1:6">
      <c r="A14" s="7">
        <v>6165</v>
      </c>
      <c r="B14" s="22" t="s">
        <v>108</v>
      </c>
      <c r="C14" s="7">
        <v>320</v>
      </c>
      <c r="D14" s="7">
        <v>1.1</v>
      </c>
      <c r="E14" s="51">
        <f t="shared" si="0"/>
        <v>352</v>
      </c>
      <c r="F14" s="7" t="s">
        <v>17</v>
      </c>
    </row>
    <row r="15" spans="1:6">
      <c r="A15" s="7">
        <v>6399</v>
      </c>
      <c r="B15" s="22" t="s">
        <v>64</v>
      </c>
      <c r="C15" s="7">
        <v>360</v>
      </c>
      <c r="D15" s="7">
        <v>1.1</v>
      </c>
      <c r="E15" s="51">
        <f t="shared" si="0"/>
        <v>396</v>
      </c>
      <c r="F15" s="7" t="s">
        <v>189</v>
      </c>
    </row>
    <row r="16" spans="1:6">
      <c r="A16" s="7">
        <v>6400</v>
      </c>
      <c r="B16" s="22" t="s">
        <v>208</v>
      </c>
      <c r="C16" s="7">
        <v>600</v>
      </c>
      <c r="D16" s="7">
        <v>1.1</v>
      </c>
      <c r="E16" s="51">
        <f t="shared" si="0"/>
        <v>660</v>
      </c>
      <c r="F16" s="7" t="s">
        <v>13</v>
      </c>
    </row>
    <row r="17" spans="1:6">
      <c r="A17" s="7">
        <v>6348</v>
      </c>
      <c r="B17" s="22" t="s">
        <v>105</v>
      </c>
      <c r="C17" s="7">
        <v>560</v>
      </c>
      <c r="D17" s="7">
        <v>1.1</v>
      </c>
      <c r="E17" s="51">
        <f t="shared" si="0"/>
        <v>616</v>
      </c>
      <c r="F17" s="7" t="s">
        <v>13</v>
      </c>
    </row>
    <row r="18" spans="1:6">
      <c r="A18" s="7">
        <v>6403</v>
      </c>
      <c r="B18" s="22" t="s">
        <v>107</v>
      </c>
      <c r="C18" s="7">
        <v>360</v>
      </c>
      <c r="D18" s="7">
        <v>1.1</v>
      </c>
      <c r="E18" s="51">
        <f t="shared" si="0"/>
        <v>396</v>
      </c>
      <c r="F18" s="7" t="s">
        <v>189</v>
      </c>
    </row>
    <row r="19" spans="1:6">
      <c r="A19" s="7">
        <v>6397</v>
      </c>
      <c r="B19" s="22" t="s">
        <v>65</v>
      </c>
      <c r="C19" s="7">
        <v>360</v>
      </c>
      <c r="D19" s="7">
        <v>1.1</v>
      </c>
      <c r="E19" s="51">
        <f t="shared" si="0"/>
        <v>396</v>
      </c>
      <c r="F19" s="7" t="s">
        <v>189</v>
      </c>
    </row>
    <row r="20" spans="1:6">
      <c r="A20" s="7">
        <v>6347</v>
      </c>
      <c r="B20" s="22" t="s">
        <v>106</v>
      </c>
      <c r="C20" s="7">
        <v>560</v>
      </c>
      <c r="D20" s="7">
        <v>1.1</v>
      </c>
      <c r="E20" s="51">
        <f t="shared" si="0"/>
        <v>616</v>
      </c>
      <c r="F20" s="7" t="s">
        <v>189</v>
      </c>
    </row>
    <row r="21" spans="1:6">
      <c r="A21" s="7">
        <v>6404</v>
      </c>
      <c r="B21" s="22" t="s">
        <v>52</v>
      </c>
      <c r="C21" s="7">
        <v>360</v>
      </c>
      <c r="D21" s="7">
        <v>1.1</v>
      </c>
      <c r="E21" s="51">
        <f t="shared" si="0"/>
        <v>396</v>
      </c>
      <c r="F21" s="7" t="s">
        <v>189</v>
      </c>
    </row>
    <row r="22" spans="1:6">
      <c r="A22" s="7">
        <v>6335</v>
      </c>
      <c r="B22" s="22" t="s">
        <v>209</v>
      </c>
      <c r="C22" s="7">
        <v>600</v>
      </c>
      <c r="D22" s="7">
        <v>1.1</v>
      </c>
      <c r="E22" s="51">
        <f t="shared" si="0"/>
        <v>660</v>
      </c>
      <c r="F22" s="7" t="s">
        <v>13</v>
      </c>
    </row>
    <row r="23" spans="1:6">
      <c r="A23" s="7">
        <v>6184</v>
      </c>
      <c r="B23" s="22" t="s">
        <v>166</v>
      </c>
      <c r="C23" s="7">
        <v>360</v>
      </c>
      <c r="D23" s="7">
        <v>1.1</v>
      </c>
      <c r="E23" s="51">
        <f t="shared" si="0"/>
        <v>396</v>
      </c>
      <c r="F23" s="7" t="s">
        <v>189</v>
      </c>
    </row>
    <row r="24" spans="1:6">
      <c r="A24" s="7">
        <v>6162</v>
      </c>
      <c r="B24" s="22" t="s">
        <v>210</v>
      </c>
      <c r="C24" s="7">
        <v>360</v>
      </c>
      <c r="D24" s="7">
        <v>1.1</v>
      </c>
      <c r="E24" s="51">
        <f t="shared" si="0"/>
        <v>396</v>
      </c>
      <c r="F24" s="7" t="s">
        <v>189</v>
      </c>
    </row>
    <row r="25" spans="1:6">
      <c r="A25" s="7">
        <v>6330</v>
      </c>
      <c r="B25" s="22" t="s">
        <v>211</v>
      </c>
      <c r="C25" s="7">
        <v>460</v>
      </c>
      <c r="D25" s="7">
        <v>1.1</v>
      </c>
      <c r="E25" s="51">
        <f t="shared" si="0"/>
        <v>506</v>
      </c>
      <c r="F25" s="7" t="s">
        <v>212</v>
      </c>
    </row>
    <row r="26" spans="3:5">
      <c r="C26" s="8" t="s">
        <v>18</v>
      </c>
      <c r="D26" s="8"/>
      <c r="E26" s="52">
        <f>SUM(E7:E8)</f>
        <v>572</v>
      </c>
    </row>
  </sheetData>
  <mergeCells count="7">
    <mergeCell ref="A3:C3"/>
    <mergeCell ref="D3:F3"/>
    <mergeCell ref="A4:C4"/>
    <mergeCell ref="D4:F4"/>
    <mergeCell ref="A5:F5"/>
    <mergeCell ref="C26:D26"/>
    <mergeCell ref="A1:F2"/>
  </mergeCell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8" sqref="D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213</v>
      </c>
      <c r="B3" s="1"/>
      <c r="C3" s="1"/>
      <c r="D3" s="1" t="s">
        <v>201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6183</v>
      </c>
      <c r="B7" s="22" t="s">
        <v>214</v>
      </c>
      <c r="C7" s="7">
        <v>450</v>
      </c>
      <c r="D7" s="7">
        <v>2757</v>
      </c>
      <c r="E7" s="7">
        <f t="shared" ref="E7:E9" si="0">C7*D7</f>
        <v>1240650</v>
      </c>
      <c r="F7" s="7" t="s">
        <v>17</v>
      </c>
    </row>
    <row r="8" spans="1:6">
      <c r="A8" s="7">
        <v>6217</v>
      </c>
      <c r="B8" s="22" t="s">
        <v>215</v>
      </c>
      <c r="C8" s="7">
        <v>450</v>
      </c>
      <c r="D8" s="7">
        <v>2757</v>
      </c>
      <c r="E8" s="7">
        <f t="shared" si="0"/>
        <v>1240650</v>
      </c>
      <c r="F8" s="7" t="s">
        <v>189</v>
      </c>
    </row>
    <row r="9" spans="1:6">
      <c r="A9" s="7">
        <v>6206</v>
      </c>
      <c r="B9" s="22" t="s">
        <v>216</v>
      </c>
      <c r="C9" s="7">
        <v>450</v>
      </c>
      <c r="D9" s="7">
        <v>2757</v>
      </c>
      <c r="E9" s="7">
        <f t="shared" si="0"/>
        <v>1240650</v>
      </c>
      <c r="F9" s="7" t="s">
        <v>13</v>
      </c>
    </row>
    <row r="10" spans="3:5">
      <c r="C10" s="8" t="s">
        <v>18</v>
      </c>
      <c r="D10" s="8"/>
      <c r="E10" s="8">
        <f>SUM(E7:E9)</f>
        <v>3721950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4" workbookViewId="0">
      <selection activeCell="E28" sqref="E2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217</v>
      </c>
      <c r="B3" s="1"/>
      <c r="C3" s="1"/>
      <c r="D3" s="1" t="s">
        <v>201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6321</v>
      </c>
      <c r="B7" s="22" t="s">
        <v>74</v>
      </c>
      <c r="C7" s="7">
        <v>100</v>
      </c>
      <c r="D7" s="7">
        <v>2875</v>
      </c>
      <c r="E7" s="7">
        <f t="shared" ref="E7:E8" si="0">C7*D7</f>
        <v>287500</v>
      </c>
      <c r="F7" s="7" t="s">
        <v>22</v>
      </c>
    </row>
    <row r="8" spans="1:6">
      <c r="A8" s="7">
        <v>6068</v>
      </c>
      <c r="B8" s="22" t="s">
        <v>135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6324</v>
      </c>
      <c r="B9" s="22" t="s">
        <v>72</v>
      </c>
      <c r="C9" s="7">
        <v>100</v>
      </c>
      <c r="D9" s="7">
        <v>2875</v>
      </c>
      <c r="E9" s="7">
        <f t="shared" ref="E9:E25" si="1">C9*D9</f>
        <v>287500</v>
      </c>
      <c r="F9" s="7" t="s">
        <v>22</v>
      </c>
    </row>
    <row r="10" spans="1:6">
      <c r="A10" s="7">
        <v>6323</v>
      </c>
      <c r="B10" s="22" t="s">
        <v>73</v>
      </c>
      <c r="C10" s="7">
        <v>100</v>
      </c>
      <c r="D10" s="7">
        <v>2875</v>
      </c>
      <c r="E10" s="7">
        <f t="shared" si="1"/>
        <v>287500</v>
      </c>
      <c r="F10" s="7" t="s">
        <v>22</v>
      </c>
    </row>
    <row r="11" spans="1:6">
      <c r="A11" s="7">
        <v>6298</v>
      </c>
      <c r="B11" s="22" t="s">
        <v>126</v>
      </c>
      <c r="C11" s="7">
        <v>100</v>
      </c>
      <c r="D11" s="7">
        <v>2875</v>
      </c>
      <c r="E11" s="7">
        <f t="shared" si="1"/>
        <v>287500</v>
      </c>
      <c r="F11" s="7" t="s">
        <v>22</v>
      </c>
    </row>
    <row r="12" spans="1:6">
      <c r="A12" s="7">
        <v>6299</v>
      </c>
      <c r="B12" s="22" t="s">
        <v>127</v>
      </c>
      <c r="C12" s="7">
        <v>100</v>
      </c>
      <c r="D12" s="7">
        <v>2875</v>
      </c>
      <c r="E12" s="7">
        <f t="shared" si="1"/>
        <v>287500</v>
      </c>
      <c r="F12" s="7" t="s">
        <v>22</v>
      </c>
    </row>
    <row r="13" spans="1:6">
      <c r="A13" s="7">
        <v>6300</v>
      </c>
      <c r="B13" s="22" t="s">
        <v>98</v>
      </c>
      <c r="C13" s="7">
        <v>100</v>
      </c>
      <c r="D13" s="7">
        <v>2875</v>
      </c>
      <c r="E13" s="7">
        <f t="shared" si="1"/>
        <v>287500</v>
      </c>
      <c r="F13" s="7" t="s">
        <v>22</v>
      </c>
    </row>
    <row r="14" spans="1:6">
      <c r="A14" s="7">
        <v>6297</v>
      </c>
      <c r="B14" s="22" t="s">
        <v>99</v>
      </c>
      <c r="C14" s="7">
        <v>100</v>
      </c>
      <c r="D14" s="7">
        <v>2875</v>
      </c>
      <c r="E14" s="7">
        <f t="shared" si="1"/>
        <v>287500</v>
      </c>
      <c r="F14" s="7" t="s">
        <v>22</v>
      </c>
    </row>
    <row r="15" spans="1:6">
      <c r="A15" s="7">
        <v>6296</v>
      </c>
      <c r="B15" s="22" t="s">
        <v>97</v>
      </c>
      <c r="C15" s="7">
        <v>100</v>
      </c>
      <c r="D15" s="7">
        <v>2875</v>
      </c>
      <c r="E15" s="7">
        <f t="shared" si="1"/>
        <v>287500</v>
      </c>
      <c r="F15" s="7" t="s">
        <v>22</v>
      </c>
    </row>
    <row r="16" spans="1:6">
      <c r="A16" s="7">
        <v>6382</v>
      </c>
      <c r="B16" s="22" t="s">
        <v>129</v>
      </c>
      <c r="C16" s="7">
        <v>100</v>
      </c>
      <c r="D16" s="7">
        <v>2875</v>
      </c>
      <c r="E16" s="7">
        <f t="shared" si="1"/>
        <v>287500</v>
      </c>
      <c r="F16" s="7" t="s">
        <v>22</v>
      </c>
    </row>
    <row r="17" spans="1:6">
      <c r="A17" s="7">
        <v>6388</v>
      </c>
      <c r="B17" s="22" t="s">
        <v>132</v>
      </c>
      <c r="C17" s="7">
        <v>100</v>
      </c>
      <c r="D17" s="7">
        <v>2875</v>
      </c>
      <c r="E17" s="7">
        <f t="shared" si="1"/>
        <v>287500</v>
      </c>
      <c r="F17" s="7" t="s">
        <v>22</v>
      </c>
    </row>
    <row r="18" spans="1:6">
      <c r="A18" s="7">
        <v>6384</v>
      </c>
      <c r="B18" s="22" t="s">
        <v>71</v>
      </c>
      <c r="C18" s="7">
        <v>100</v>
      </c>
      <c r="D18" s="7">
        <v>2875</v>
      </c>
      <c r="E18" s="7">
        <f t="shared" si="1"/>
        <v>287500</v>
      </c>
      <c r="F18" s="7" t="s">
        <v>22</v>
      </c>
    </row>
    <row r="19" spans="1:6">
      <c r="A19" s="7">
        <v>6383</v>
      </c>
      <c r="B19" s="22" t="s">
        <v>70</v>
      </c>
      <c r="C19" s="7">
        <v>100</v>
      </c>
      <c r="D19" s="7">
        <v>2875</v>
      </c>
      <c r="E19" s="7">
        <f t="shared" si="1"/>
        <v>287500</v>
      </c>
      <c r="F19" s="7" t="s">
        <v>22</v>
      </c>
    </row>
    <row r="20" spans="1:6">
      <c r="A20" s="7">
        <v>6378</v>
      </c>
      <c r="B20" s="22" t="s">
        <v>133</v>
      </c>
      <c r="C20" s="7">
        <v>100</v>
      </c>
      <c r="D20" s="7">
        <v>2875</v>
      </c>
      <c r="E20" s="7">
        <f t="shared" si="1"/>
        <v>287500</v>
      </c>
      <c r="F20" s="7" t="s">
        <v>22</v>
      </c>
    </row>
    <row r="21" spans="1:6">
      <c r="A21" s="7">
        <v>6367</v>
      </c>
      <c r="B21" s="22" t="s">
        <v>139</v>
      </c>
      <c r="C21" s="7">
        <v>100</v>
      </c>
      <c r="D21" s="7">
        <v>2875</v>
      </c>
      <c r="E21" s="7">
        <f t="shared" si="1"/>
        <v>287500</v>
      </c>
      <c r="F21" s="7" t="s">
        <v>22</v>
      </c>
    </row>
    <row r="22" spans="1:6">
      <c r="A22" s="7">
        <v>6369</v>
      </c>
      <c r="B22" s="22" t="s">
        <v>140</v>
      </c>
      <c r="C22" s="7">
        <v>100</v>
      </c>
      <c r="D22" s="7">
        <v>2875</v>
      </c>
      <c r="E22" s="7">
        <f t="shared" si="1"/>
        <v>287500</v>
      </c>
      <c r="F22" s="7" t="s">
        <v>22</v>
      </c>
    </row>
    <row r="23" spans="1:6">
      <c r="A23" s="7">
        <v>6385</v>
      </c>
      <c r="B23" s="22" t="s">
        <v>161</v>
      </c>
      <c r="C23" s="7">
        <v>100</v>
      </c>
      <c r="D23" s="7">
        <v>2875</v>
      </c>
      <c r="E23" s="7">
        <f t="shared" si="1"/>
        <v>287500</v>
      </c>
      <c r="F23" s="7" t="s">
        <v>22</v>
      </c>
    </row>
    <row r="24" spans="1:6">
      <c r="A24" s="7">
        <v>6386</v>
      </c>
      <c r="B24" s="22" t="s">
        <v>128</v>
      </c>
      <c r="C24" s="7">
        <v>100</v>
      </c>
      <c r="D24" s="7">
        <v>2875</v>
      </c>
      <c r="E24" s="7">
        <f t="shared" si="1"/>
        <v>287500</v>
      </c>
      <c r="F24" s="7" t="s">
        <v>22</v>
      </c>
    </row>
    <row r="25" spans="1:6">
      <c r="A25" s="7">
        <v>6376</v>
      </c>
      <c r="B25" s="22" t="s">
        <v>131</v>
      </c>
      <c r="C25" s="7">
        <v>100</v>
      </c>
      <c r="D25" s="7">
        <v>2875</v>
      </c>
      <c r="E25" s="7">
        <f t="shared" si="1"/>
        <v>287500</v>
      </c>
      <c r="F25" s="7" t="s">
        <v>22</v>
      </c>
    </row>
    <row r="26" spans="3:5">
      <c r="C26" s="7" t="s">
        <v>18</v>
      </c>
      <c r="D26" s="7"/>
      <c r="E26" s="7">
        <f>SUM(E7:E25)</f>
        <v>5462500</v>
      </c>
    </row>
  </sheetData>
  <mergeCells count="7">
    <mergeCell ref="A3:C3"/>
    <mergeCell ref="D3:F3"/>
    <mergeCell ref="A4:C4"/>
    <mergeCell ref="D4:F4"/>
    <mergeCell ref="A5:F5"/>
    <mergeCell ref="C26:D26"/>
    <mergeCell ref="A1:F2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G20" sqref="G2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218</v>
      </c>
      <c r="B3" s="1"/>
      <c r="C3" s="1"/>
      <c r="D3" s="1" t="s">
        <v>201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6394</v>
      </c>
      <c r="B7" s="22" t="s">
        <v>130</v>
      </c>
      <c r="C7" s="7">
        <v>100</v>
      </c>
      <c r="D7" s="7">
        <v>2875</v>
      </c>
      <c r="E7" s="7">
        <f t="shared" ref="E7:E23" si="0">C7*D7</f>
        <v>287500</v>
      </c>
      <c r="F7" s="7" t="s">
        <v>22</v>
      </c>
    </row>
    <row r="8" spans="1:6">
      <c r="A8" s="7">
        <v>6085</v>
      </c>
      <c r="B8" s="22" t="s">
        <v>219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6433</v>
      </c>
      <c r="B9" s="22" t="s">
        <v>80</v>
      </c>
      <c r="C9" s="7">
        <v>100</v>
      </c>
      <c r="D9" s="7">
        <v>2875</v>
      </c>
      <c r="E9" s="7">
        <f t="shared" si="0"/>
        <v>287500</v>
      </c>
      <c r="F9" s="7" t="s">
        <v>78</v>
      </c>
    </row>
    <row r="10" spans="1:6">
      <c r="A10" s="7">
        <v>6427</v>
      </c>
      <c r="B10" s="22" t="s">
        <v>81</v>
      </c>
      <c r="C10" s="7">
        <v>100</v>
      </c>
      <c r="D10" s="7">
        <v>2875</v>
      </c>
      <c r="E10" s="7">
        <f t="shared" si="0"/>
        <v>287500</v>
      </c>
      <c r="F10" s="7" t="s">
        <v>78</v>
      </c>
    </row>
    <row r="11" spans="1:6">
      <c r="A11" s="7">
        <v>6435</v>
      </c>
      <c r="B11" s="22" t="s">
        <v>82</v>
      </c>
      <c r="C11" s="7">
        <v>100</v>
      </c>
      <c r="D11" s="7">
        <v>2875</v>
      </c>
      <c r="E11" s="7">
        <f t="shared" si="0"/>
        <v>287500</v>
      </c>
      <c r="F11" s="7" t="s">
        <v>78</v>
      </c>
    </row>
    <row r="12" spans="1:6">
      <c r="A12" s="7">
        <v>6418</v>
      </c>
      <c r="B12" s="22" t="s">
        <v>79</v>
      </c>
      <c r="C12" s="7">
        <v>100</v>
      </c>
      <c r="D12" s="7">
        <v>2875</v>
      </c>
      <c r="E12" s="7">
        <f t="shared" si="0"/>
        <v>287500</v>
      </c>
      <c r="F12" s="7" t="s">
        <v>22</v>
      </c>
    </row>
    <row r="13" spans="1:6">
      <c r="A13" s="7">
        <v>5993</v>
      </c>
      <c r="B13" s="22" t="s">
        <v>110</v>
      </c>
      <c r="C13" s="7">
        <v>100</v>
      </c>
      <c r="D13" s="7">
        <v>2875</v>
      </c>
      <c r="E13" s="7">
        <f t="shared" si="0"/>
        <v>287500</v>
      </c>
      <c r="F13" s="7" t="s">
        <v>22</v>
      </c>
    </row>
    <row r="14" spans="1:6">
      <c r="A14" s="7">
        <v>6265</v>
      </c>
      <c r="B14" s="22" t="s">
        <v>114</v>
      </c>
      <c r="C14" s="7">
        <v>100</v>
      </c>
      <c r="D14" s="7">
        <v>2875</v>
      </c>
      <c r="E14" s="7">
        <f t="shared" si="0"/>
        <v>287500</v>
      </c>
      <c r="F14" s="7" t="s">
        <v>22</v>
      </c>
    </row>
    <row r="15" spans="1:6">
      <c r="A15" s="7">
        <v>6377</v>
      </c>
      <c r="B15" s="22" t="s">
        <v>220</v>
      </c>
      <c r="C15" s="7">
        <v>100</v>
      </c>
      <c r="D15" s="7">
        <v>2875</v>
      </c>
      <c r="E15" s="7">
        <f t="shared" si="0"/>
        <v>287500</v>
      </c>
      <c r="F15" s="7" t="s">
        <v>22</v>
      </c>
    </row>
    <row r="16" spans="1:6">
      <c r="A16" s="7">
        <v>5992</v>
      </c>
      <c r="B16" s="22" t="s">
        <v>221</v>
      </c>
      <c r="C16" s="7">
        <v>100</v>
      </c>
      <c r="D16" s="7">
        <v>2875</v>
      </c>
      <c r="E16" s="7">
        <f t="shared" si="0"/>
        <v>287500</v>
      </c>
      <c r="F16" s="7" t="s">
        <v>22</v>
      </c>
    </row>
    <row r="17" spans="1:6">
      <c r="A17" s="7">
        <v>6262</v>
      </c>
      <c r="B17" s="22" t="s">
        <v>118</v>
      </c>
      <c r="C17" s="7">
        <v>100</v>
      </c>
      <c r="D17" s="7">
        <v>2875</v>
      </c>
      <c r="E17" s="7">
        <f t="shared" si="0"/>
        <v>287500</v>
      </c>
      <c r="F17" s="7" t="s">
        <v>22</v>
      </c>
    </row>
    <row r="18" spans="1:6">
      <c r="A18" s="7">
        <v>6263</v>
      </c>
      <c r="B18" s="22" t="s">
        <v>119</v>
      </c>
      <c r="C18" s="7">
        <v>100</v>
      </c>
      <c r="D18" s="7">
        <v>2875</v>
      </c>
      <c r="E18" s="7">
        <f t="shared" si="0"/>
        <v>287500</v>
      </c>
      <c r="F18" s="7" t="s">
        <v>22</v>
      </c>
    </row>
    <row r="19" spans="1:6">
      <c r="A19" s="7">
        <v>6261</v>
      </c>
      <c r="B19" s="22" t="s">
        <v>112</v>
      </c>
      <c r="C19" s="7">
        <v>100</v>
      </c>
      <c r="D19" s="7">
        <v>2875</v>
      </c>
      <c r="E19" s="7">
        <f t="shared" si="0"/>
        <v>287500</v>
      </c>
      <c r="F19" s="7" t="s">
        <v>22</v>
      </c>
    </row>
    <row r="20" spans="1:6">
      <c r="A20" s="7">
        <v>6258</v>
      </c>
      <c r="B20" s="22" t="s">
        <v>116</v>
      </c>
      <c r="C20" s="7">
        <v>100</v>
      </c>
      <c r="D20" s="7">
        <v>2875</v>
      </c>
      <c r="E20" s="7">
        <f t="shared" si="0"/>
        <v>287500</v>
      </c>
      <c r="F20" s="7" t="s">
        <v>22</v>
      </c>
    </row>
    <row r="21" spans="1:6">
      <c r="A21" s="7">
        <v>6267</v>
      </c>
      <c r="B21" s="22" t="s">
        <v>115</v>
      </c>
      <c r="C21" s="7">
        <v>100</v>
      </c>
      <c r="D21" s="7">
        <v>2875</v>
      </c>
      <c r="E21" s="7">
        <f t="shared" si="0"/>
        <v>287500</v>
      </c>
      <c r="F21" s="7" t="s">
        <v>22</v>
      </c>
    </row>
    <row r="22" spans="1:6">
      <c r="A22" s="7">
        <v>6260</v>
      </c>
      <c r="B22" s="22" t="s">
        <v>113</v>
      </c>
      <c r="C22" s="7">
        <v>100</v>
      </c>
      <c r="D22" s="7">
        <v>2875</v>
      </c>
      <c r="E22" s="7">
        <f t="shared" si="0"/>
        <v>287500</v>
      </c>
      <c r="F22" s="7" t="s">
        <v>22</v>
      </c>
    </row>
    <row r="23" spans="1:6">
      <c r="A23" s="7">
        <v>6257</v>
      </c>
      <c r="B23" s="22" t="s">
        <v>111</v>
      </c>
      <c r="C23" s="7">
        <v>100</v>
      </c>
      <c r="D23" s="7">
        <v>2875</v>
      </c>
      <c r="E23" s="7">
        <f t="shared" si="0"/>
        <v>287500</v>
      </c>
      <c r="F23" s="7" t="s">
        <v>22</v>
      </c>
    </row>
    <row r="24" spans="3:5">
      <c r="C24" s="7" t="s">
        <v>18</v>
      </c>
      <c r="D24" s="7"/>
      <c r="E24" s="7">
        <f>SUM(E7:E23)</f>
        <v>4887500</v>
      </c>
    </row>
  </sheetData>
  <mergeCells count="7">
    <mergeCell ref="A3:C3"/>
    <mergeCell ref="D3:F3"/>
    <mergeCell ref="A4:C4"/>
    <mergeCell ref="D4:F4"/>
    <mergeCell ref="A5:F5"/>
    <mergeCell ref="C24:D24"/>
    <mergeCell ref="A1:F2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11" sqref="E11"/>
    </sheetView>
  </sheetViews>
  <sheetFormatPr defaultColWidth="9" defaultRowHeight="14.25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222</v>
      </c>
      <c r="B3" s="1"/>
      <c r="C3" s="1"/>
      <c r="D3" s="1" t="s">
        <v>201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6282</v>
      </c>
      <c r="B7" s="7" t="s">
        <v>223</v>
      </c>
      <c r="C7" s="7">
        <v>40</v>
      </c>
      <c r="D7" s="7">
        <v>1.1</v>
      </c>
      <c r="E7" s="51">
        <f>C7*D7</f>
        <v>44</v>
      </c>
      <c r="F7" s="7" t="s">
        <v>22</v>
      </c>
    </row>
    <row r="8" spans="1:6">
      <c r="A8" s="7">
        <v>6381</v>
      </c>
      <c r="B8" s="22" t="s">
        <v>224</v>
      </c>
      <c r="C8" s="7">
        <v>40</v>
      </c>
      <c r="D8" s="7">
        <v>1.1</v>
      </c>
      <c r="E8" s="51">
        <f t="shared" ref="E8" si="0">C8*D8</f>
        <v>44</v>
      </c>
      <c r="F8" s="7" t="s">
        <v>22</v>
      </c>
    </row>
    <row r="9" spans="3:5">
      <c r="C9" s="8" t="s">
        <v>18</v>
      </c>
      <c r="D9" s="8"/>
      <c r="E9" s="52">
        <f>SUM(E7:E8)</f>
        <v>88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6" sqref="E6"/>
    </sheetView>
  </sheetViews>
  <sheetFormatPr defaultColWidth="9" defaultRowHeight="14.25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225</v>
      </c>
      <c r="B3" s="1"/>
      <c r="C3" s="1"/>
      <c r="D3" s="1" t="s">
        <v>201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6282</v>
      </c>
      <c r="B7" s="7" t="s">
        <v>223</v>
      </c>
      <c r="C7" s="7">
        <v>50</v>
      </c>
      <c r="D7" s="7">
        <v>1.1</v>
      </c>
      <c r="E7" s="51">
        <f>C7*D7</f>
        <v>55</v>
      </c>
      <c r="F7" s="7" t="s">
        <v>22</v>
      </c>
    </row>
    <row r="8" spans="1:6">
      <c r="A8" s="7">
        <v>6381</v>
      </c>
      <c r="B8" s="22" t="s">
        <v>224</v>
      </c>
      <c r="C8" s="7">
        <v>50</v>
      </c>
      <c r="D8" s="7">
        <v>1.1</v>
      </c>
      <c r="E8" s="51">
        <f t="shared" ref="E8" si="0">C8*D8</f>
        <v>55</v>
      </c>
      <c r="F8" s="7" t="s">
        <v>22</v>
      </c>
    </row>
    <row r="9" spans="3:5">
      <c r="C9" s="8" t="s">
        <v>18</v>
      </c>
      <c r="D9" s="8"/>
      <c r="E9" s="52">
        <f>SUM(E7:E8)</f>
        <v>110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13" sqref="E13"/>
    </sheetView>
  </sheetViews>
  <sheetFormatPr defaultColWidth="9" defaultRowHeight="14.25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226</v>
      </c>
      <c r="B3" s="1"/>
      <c r="C3" s="1"/>
      <c r="D3" s="1" t="s">
        <v>201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6282</v>
      </c>
      <c r="B7" s="7" t="s">
        <v>223</v>
      </c>
      <c r="C7" s="7">
        <v>50</v>
      </c>
      <c r="D7" s="7">
        <v>1.1</v>
      </c>
      <c r="E7" s="51">
        <f>C7*D7</f>
        <v>55</v>
      </c>
      <c r="F7" s="7" t="s">
        <v>22</v>
      </c>
    </row>
    <row r="8" spans="1:6">
      <c r="A8" s="7">
        <v>6381</v>
      </c>
      <c r="B8" s="22" t="s">
        <v>224</v>
      </c>
      <c r="C8" s="7">
        <v>50</v>
      </c>
      <c r="D8" s="7">
        <v>1.1</v>
      </c>
      <c r="E8" s="51">
        <f t="shared" ref="E8" si="0">C8*D8</f>
        <v>55</v>
      </c>
      <c r="F8" s="7" t="s">
        <v>22</v>
      </c>
    </row>
    <row r="9" spans="3:5">
      <c r="C9" s="8" t="s">
        <v>18</v>
      </c>
      <c r="D9" s="8"/>
      <c r="E9" s="52">
        <f>SUM(E7:E8)</f>
        <v>110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6" sqref="E16"/>
    </sheetView>
  </sheetViews>
  <sheetFormatPr defaultColWidth="9" defaultRowHeight="14.25" outlineLevelRow="7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227</v>
      </c>
      <c r="B3" s="1"/>
      <c r="C3" s="1"/>
      <c r="D3" s="1" t="s">
        <v>201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5994</v>
      </c>
      <c r="B7" s="7" t="s">
        <v>228</v>
      </c>
      <c r="C7" s="7">
        <v>50</v>
      </c>
      <c r="D7" s="7">
        <v>1.1</v>
      </c>
      <c r="E7" s="51">
        <f>C7*D7</f>
        <v>55</v>
      </c>
      <c r="F7" s="7" t="s">
        <v>22</v>
      </c>
    </row>
    <row r="8" spans="3:5">
      <c r="C8" s="8" t="s">
        <v>18</v>
      </c>
      <c r="D8" s="8"/>
      <c r="E8" s="52">
        <f>SUM(E7:E7)</f>
        <v>55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opLeftCell="A4" workbookViewId="0">
      <selection activeCell="D20" sqref="D2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229</v>
      </c>
      <c r="B3" s="1"/>
      <c r="C3" s="1"/>
      <c r="D3" s="1" t="s">
        <v>201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6321</v>
      </c>
      <c r="B7" s="22" t="s">
        <v>74</v>
      </c>
      <c r="C7" s="7">
        <v>400</v>
      </c>
      <c r="D7" s="7">
        <v>2757</v>
      </c>
      <c r="E7" s="7">
        <f t="shared" ref="E7:E25" si="0">C7*D7</f>
        <v>1102800</v>
      </c>
      <c r="F7" s="7" t="s">
        <v>22</v>
      </c>
    </row>
    <row r="8" spans="1:6">
      <c r="A8" s="7">
        <v>6068</v>
      </c>
      <c r="B8" s="22" t="s">
        <v>135</v>
      </c>
      <c r="C8" s="7">
        <v>400</v>
      </c>
      <c r="D8" s="7">
        <v>2757</v>
      </c>
      <c r="E8" s="7">
        <f t="shared" si="0"/>
        <v>1102800</v>
      </c>
      <c r="F8" s="7" t="s">
        <v>22</v>
      </c>
    </row>
    <row r="9" spans="1:6">
      <c r="A9" s="7">
        <v>6324</v>
      </c>
      <c r="B9" s="22" t="s">
        <v>72</v>
      </c>
      <c r="C9" s="7">
        <v>400</v>
      </c>
      <c r="D9" s="7">
        <v>2757</v>
      </c>
      <c r="E9" s="7">
        <f t="shared" si="0"/>
        <v>1102800</v>
      </c>
      <c r="F9" s="7" t="s">
        <v>22</v>
      </c>
    </row>
    <row r="10" spans="1:6">
      <c r="A10" s="7">
        <v>6323</v>
      </c>
      <c r="B10" s="22" t="s">
        <v>73</v>
      </c>
      <c r="C10" s="7">
        <v>400</v>
      </c>
      <c r="D10" s="7">
        <v>2757</v>
      </c>
      <c r="E10" s="7">
        <f t="shared" si="0"/>
        <v>1102800</v>
      </c>
      <c r="F10" s="7" t="s">
        <v>22</v>
      </c>
    </row>
    <row r="11" spans="1:6">
      <c r="A11" s="7">
        <v>6298</v>
      </c>
      <c r="B11" s="22" t="s">
        <v>126</v>
      </c>
      <c r="C11" s="7">
        <v>400</v>
      </c>
      <c r="D11" s="7">
        <v>2757</v>
      </c>
      <c r="E11" s="7">
        <f t="shared" si="0"/>
        <v>1102800</v>
      </c>
      <c r="F11" s="7" t="s">
        <v>22</v>
      </c>
    </row>
    <row r="12" spans="1:6">
      <c r="A12" s="7">
        <v>6299</v>
      </c>
      <c r="B12" s="22" t="s">
        <v>127</v>
      </c>
      <c r="C12" s="7">
        <v>400</v>
      </c>
      <c r="D12" s="7">
        <v>2757</v>
      </c>
      <c r="E12" s="7">
        <f t="shared" si="0"/>
        <v>1102800</v>
      </c>
      <c r="F12" s="7" t="s">
        <v>22</v>
      </c>
    </row>
    <row r="13" spans="1:6">
      <c r="A13" s="7">
        <v>6300</v>
      </c>
      <c r="B13" s="22" t="s">
        <v>98</v>
      </c>
      <c r="C13" s="7">
        <v>400</v>
      </c>
      <c r="D13" s="7">
        <v>2757</v>
      </c>
      <c r="E13" s="7">
        <f t="shared" si="0"/>
        <v>1102800</v>
      </c>
      <c r="F13" s="7" t="s">
        <v>22</v>
      </c>
    </row>
    <row r="14" spans="1:6">
      <c r="A14" s="7">
        <v>6297</v>
      </c>
      <c r="B14" s="22" t="s">
        <v>99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1:6">
      <c r="A15" s="7">
        <v>6296</v>
      </c>
      <c r="B15" s="22" t="s">
        <v>97</v>
      </c>
      <c r="C15" s="7">
        <v>400</v>
      </c>
      <c r="D15" s="7">
        <v>2757</v>
      </c>
      <c r="E15" s="7">
        <f t="shared" si="0"/>
        <v>1102800</v>
      </c>
      <c r="F15" s="7" t="s">
        <v>22</v>
      </c>
    </row>
    <row r="16" spans="1:6">
      <c r="A16" s="7">
        <v>6382</v>
      </c>
      <c r="B16" s="22" t="s">
        <v>129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1:6">
      <c r="A17" s="7">
        <v>6388</v>
      </c>
      <c r="B17" s="22" t="s">
        <v>132</v>
      </c>
      <c r="C17" s="7">
        <v>400</v>
      </c>
      <c r="D17" s="7">
        <v>2757</v>
      </c>
      <c r="E17" s="7">
        <f t="shared" si="0"/>
        <v>1102800</v>
      </c>
      <c r="F17" s="7" t="s">
        <v>22</v>
      </c>
    </row>
    <row r="18" spans="1:6">
      <c r="A18" s="7">
        <v>6384</v>
      </c>
      <c r="B18" s="22" t="s">
        <v>71</v>
      </c>
      <c r="C18" s="7">
        <v>400</v>
      </c>
      <c r="D18" s="7">
        <v>2757</v>
      </c>
      <c r="E18" s="7">
        <f t="shared" si="0"/>
        <v>1102800</v>
      </c>
      <c r="F18" s="7" t="s">
        <v>22</v>
      </c>
    </row>
    <row r="19" spans="1:6">
      <c r="A19" s="7">
        <v>6383</v>
      </c>
      <c r="B19" s="22" t="s">
        <v>70</v>
      </c>
      <c r="C19" s="7">
        <v>400</v>
      </c>
      <c r="D19" s="7">
        <v>2757</v>
      </c>
      <c r="E19" s="7">
        <f t="shared" si="0"/>
        <v>1102800</v>
      </c>
      <c r="F19" s="7" t="s">
        <v>22</v>
      </c>
    </row>
    <row r="20" spans="1:6">
      <c r="A20" s="7">
        <v>6378</v>
      </c>
      <c r="B20" s="22" t="s">
        <v>133</v>
      </c>
      <c r="C20" s="7">
        <v>400</v>
      </c>
      <c r="D20" s="7">
        <v>2757</v>
      </c>
      <c r="E20" s="7">
        <f t="shared" si="0"/>
        <v>1102800</v>
      </c>
      <c r="F20" s="7" t="s">
        <v>22</v>
      </c>
    </row>
    <row r="21" spans="1:6">
      <c r="A21" s="7">
        <v>6367</v>
      </c>
      <c r="B21" s="22" t="s">
        <v>139</v>
      </c>
      <c r="C21" s="7">
        <v>400</v>
      </c>
      <c r="D21" s="7">
        <v>2757</v>
      </c>
      <c r="E21" s="7">
        <f t="shared" si="0"/>
        <v>1102800</v>
      </c>
      <c r="F21" s="7" t="s">
        <v>22</v>
      </c>
    </row>
    <row r="22" spans="1:6">
      <c r="A22" s="7">
        <v>6369</v>
      </c>
      <c r="B22" s="22" t="s">
        <v>140</v>
      </c>
      <c r="C22" s="7">
        <v>400</v>
      </c>
      <c r="D22" s="7">
        <v>2757</v>
      </c>
      <c r="E22" s="7">
        <f t="shared" si="0"/>
        <v>1102800</v>
      </c>
      <c r="F22" s="7" t="s">
        <v>22</v>
      </c>
    </row>
    <row r="23" spans="1:6">
      <c r="A23" s="7">
        <v>6385</v>
      </c>
      <c r="B23" s="22" t="s">
        <v>161</v>
      </c>
      <c r="C23" s="7">
        <v>400</v>
      </c>
      <c r="D23" s="7">
        <v>2757</v>
      </c>
      <c r="E23" s="7">
        <f t="shared" si="0"/>
        <v>1102800</v>
      </c>
      <c r="F23" s="7" t="s">
        <v>22</v>
      </c>
    </row>
    <row r="24" spans="1:6">
      <c r="A24" s="7">
        <v>6386</v>
      </c>
      <c r="B24" s="22" t="s">
        <v>128</v>
      </c>
      <c r="C24" s="7">
        <v>400</v>
      </c>
      <c r="D24" s="7">
        <v>2757</v>
      </c>
      <c r="E24" s="7">
        <f t="shared" si="0"/>
        <v>1102800</v>
      </c>
      <c r="F24" s="7" t="s">
        <v>22</v>
      </c>
    </row>
    <row r="25" spans="1:6">
      <c r="A25" s="7">
        <v>6376</v>
      </c>
      <c r="B25" s="22" t="s">
        <v>131</v>
      </c>
      <c r="C25" s="7">
        <v>400</v>
      </c>
      <c r="D25" s="7">
        <v>2757</v>
      </c>
      <c r="E25" s="7">
        <f t="shared" si="0"/>
        <v>1102800</v>
      </c>
      <c r="F25" s="7" t="s">
        <v>22</v>
      </c>
    </row>
    <row r="26" spans="3:5">
      <c r="C26" s="7" t="s">
        <v>18</v>
      </c>
      <c r="D26" s="7"/>
      <c r="E26" s="7">
        <f>SUM(E7:E25)</f>
        <v>20953200</v>
      </c>
    </row>
  </sheetData>
  <mergeCells count="7">
    <mergeCell ref="A3:C3"/>
    <mergeCell ref="D3:F3"/>
    <mergeCell ref="A4:C4"/>
    <mergeCell ref="D4:F4"/>
    <mergeCell ref="A5:F5"/>
    <mergeCell ref="C26:D26"/>
    <mergeCell ref="A1:F2"/>
  </mergeCell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C26" sqref="C26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230</v>
      </c>
      <c r="B3" s="1"/>
      <c r="C3" s="1"/>
      <c r="D3" s="1" t="s">
        <v>201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6394</v>
      </c>
      <c r="B7" s="22" t="s">
        <v>130</v>
      </c>
      <c r="C7" s="7">
        <v>400</v>
      </c>
      <c r="D7" s="7">
        <v>2757</v>
      </c>
      <c r="E7" s="7">
        <f t="shared" ref="E7:E28" si="0">C7*D7</f>
        <v>1102800</v>
      </c>
      <c r="F7" s="7" t="s">
        <v>22</v>
      </c>
    </row>
    <row r="8" spans="1:6">
      <c r="A8" s="7">
        <v>6085</v>
      </c>
      <c r="B8" s="22" t="s">
        <v>219</v>
      </c>
      <c r="C8" s="7">
        <v>400</v>
      </c>
      <c r="D8" s="7">
        <v>2757</v>
      </c>
      <c r="E8" s="7">
        <f t="shared" si="0"/>
        <v>1102800</v>
      </c>
      <c r="F8" s="7" t="s">
        <v>22</v>
      </c>
    </row>
    <row r="9" spans="1:6">
      <c r="A9" s="7">
        <v>6433</v>
      </c>
      <c r="B9" s="22" t="s">
        <v>80</v>
      </c>
      <c r="C9" s="7">
        <v>400</v>
      </c>
      <c r="D9" s="7">
        <v>2757</v>
      </c>
      <c r="E9" s="7">
        <f t="shared" si="0"/>
        <v>1102800</v>
      </c>
      <c r="F9" s="7" t="s">
        <v>78</v>
      </c>
    </row>
    <row r="10" spans="1:6">
      <c r="A10" s="7">
        <v>6427</v>
      </c>
      <c r="B10" s="22" t="s">
        <v>81</v>
      </c>
      <c r="C10" s="7">
        <v>400</v>
      </c>
      <c r="D10" s="7">
        <v>2757</v>
      </c>
      <c r="E10" s="7">
        <f t="shared" si="0"/>
        <v>1102800</v>
      </c>
      <c r="F10" s="7" t="s">
        <v>78</v>
      </c>
    </row>
    <row r="11" spans="1:6">
      <c r="A11" s="7">
        <v>6435</v>
      </c>
      <c r="B11" s="22" t="s">
        <v>82</v>
      </c>
      <c r="C11" s="7">
        <v>400</v>
      </c>
      <c r="D11" s="7">
        <v>2757</v>
      </c>
      <c r="E11" s="7">
        <f t="shared" si="0"/>
        <v>1102800</v>
      </c>
      <c r="F11" s="7" t="s">
        <v>78</v>
      </c>
    </row>
    <row r="12" spans="1:6">
      <c r="A12" s="7">
        <v>6418</v>
      </c>
      <c r="B12" s="22" t="s">
        <v>79</v>
      </c>
      <c r="C12" s="7">
        <v>400</v>
      </c>
      <c r="D12" s="7">
        <v>2757</v>
      </c>
      <c r="E12" s="7">
        <f t="shared" si="0"/>
        <v>1102800</v>
      </c>
      <c r="F12" s="7" t="s">
        <v>22</v>
      </c>
    </row>
    <row r="13" spans="1:6">
      <c r="A13" s="7">
        <v>5993</v>
      </c>
      <c r="B13" s="22" t="s">
        <v>110</v>
      </c>
      <c r="C13" s="7">
        <v>400</v>
      </c>
      <c r="D13" s="7">
        <v>2757</v>
      </c>
      <c r="E13" s="7">
        <f t="shared" si="0"/>
        <v>1102800</v>
      </c>
      <c r="F13" s="7" t="s">
        <v>22</v>
      </c>
    </row>
    <row r="14" spans="1:6">
      <c r="A14" s="7">
        <v>6265</v>
      </c>
      <c r="B14" s="22" t="s">
        <v>114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1:6">
      <c r="A15" s="7">
        <v>6377</v>
      </c>
      <c r="B15" s="22" t="s">
        <v>220</v>
      </c>
      <c r="C15" s="7">
        <v>400</v>
      </c>
      <c r="D15" s="7">
        <v>2757</v>
      </c>
      <c r="E15" s="7">
        <f t="shared" si="0"/>
        <v>1102800</v>
      </c>
      <c r="F15" s="7" t="s">
        <v>22</v>
      </c>
    </row>
    <row r="16" spans="1:6">
      <c r="A16" s="7">
        <v>5992</v>
      </c>
      <c r="B16" s="22" t="s">
        <v>221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1:6">
      <c r="A17" s="7">
        <v>6262</v>
      </c>
      <c r="B17" s="22" t="s">
        <v>118</v>
      </c>
      <c r="C17" s="7">
        <v>400</v>
      </c>
      <c r="D17" s="7">
        <v>2757</v>
      </c>
      <c r="E17" s="7">
        <f t="shared" si="0"/>
        <v>1102800</v>
      </c>
      <c r="F17" s="7" t="s">
        <v>22</v>
      </c>
    </row>
    <row r="18" spans="1:6">
      <c r="A18" s="7">
        <v>6263</v>
      </c>
      <c r="B18" s="22" t="s">
        <v>119</v>
      </c>
      <c r="C18" s="7">
        <v>400</v>
      </c>
      <c r="D18" s="7">
        <v>2757</v>
      </c>
      <c r="E18" s="7">
        <f t="shared" si="0"/>
        <v>1102800</v>
      </c>
      <c r="F18" s="7" t="s">
        <v>22</v>
      </c>
    </row>
    <row r="19" spans="1:6">
      <c r="A19" s="7">
        <v>6261</v>
      </c>
      <c r="B19" s="22" t="s">
        <v>112</v>
      </c>
      <c r="C19" s="7">
        <v>400</v>
      </c>
      <c r="D19" s="7">
        <v>2757</v>
      </c>
      <c r="E19" s="7">
        <f t="shared" si="0"/>
        <v>1102800</v>
      </c>
      <c r="F19" s="7" t="s">
        <v>22</v>
      </c>
    </row>
    <row r="20" spans="1:6">
      <c r="A20" s="7">
        <v>6258</v>
      </c>
      <c r="B20" s="22" t="s">
        <v>116</v>
      </c>
      <c r="C20" s="7">
        <v>400</v>
      </c>
      <c r="D20" s="7">
        <v>2757</v>
      </c>
      <c r="E20" s="7">
        <f t="shared" si="0"/>
        <v>1102800</v>
      </c>
      <c r="F20" s="7" t="s">
        <v>22</v>
      </c>
    </row>
    <row r="21" spans="1:6">
      <c r="A21" s="7">
        <v>6267</v>
      </c>
      <c r="B21" s="22" t="s">
        <v>115</v>
      </c>
      <c r="C21" s="7">
        <v>400</v>
      </c>
      <c r="D21" s="7">
        <v>2757</v>
      </c>
      <c r="E21" s="7">
        <f t="shared" si="0"/>
        <v>1102800</v>
      </c>
      <c r="F21" s="7" t="s">
        <v>22</v>
      </c>
    </row>
    <row r="22" spans="1:6">
      <c r="A22" s="7">
        <v>6260</v>
      </c>
      <c r="B22" s="22" t="s">
        <v>113</v>
      </c>
      <c r="C22" s="7">
        <v>400</v>
      </c>
      <c r="D22" s="7">
        <v>2757</v>
      </c>
      <c r="E22" s="7">
        <f t="shared" si="0"/>
        <v>1102800</v>
      </c>
      <c r="F22" s="7" t="s">
        <v>22</v>
      </c>
    </row>
    <row r="23" spans="1:6">
      <c r="A23" s="7">
        <v>6257</v>
      </c>
      <c r="B23" s="22" t="s">
        <v>111</v>
      </c>
      <c r="C23" s="7">
        <v>400</v>
      </c>
      <c r="D23" s="7">
        <v>2757</v>
      </c>
      <c r="E23" s="7">
        <f t="shared" si="0"/>
        <v>1102800</v>
      </c>
      <c r="F23" s="7" t="s">
        <v>22</v>
      </c>
    </row>
    <row r="24" spans="1:6">
      <c r="A24" s="7">
        <v>6458</v>
      </c>
      <c r="B24" s="22" t="s">
        <v>231</v>
      </c>
      <c r="C24" s="7">
        <v>450</v>
      </c>
      <c r="D24" s="7">
        <v>2757</v>
      </c>
      <c r="E24" s="7">
        <f t="shared" si="0"/>
        <v>1240650</v>
      </c>
      <c r="F24" s="7" t="s">
        <v>189</v>
      </c>
    </row>
    <row r="25" spans="1:6">
      <c r="A25" s="7">
        <v>6456</v>
      </c>
      <c r="B25" s="22" t="s">
        <v>232</v>
      </c>
      <c r="C25" s="7">
        <v>450</v>
      </c>
      <c r="D25" s="7">
        <v>2757</v>
      </c>
      <c r="E25" s="7">
        <f t="shared" si="0"/>
        <v>1240650</v>
      </c>
      <c r="F25" s="7" t="s">
        <v>189</v>
      </c>
    </row>
    <row r="26" spans="1:6">
      <c r="A26" s="7">
        <v>6491</v>
      </c>
      <c r="B26" s="22" t="s">
        <v>233</v>
      </c>
      <c r="C26" s="7">
        <v>450</v>
      </c>
      <c r="D26" s="7">
        <v>2757</v>
      </c>
      <c r="E26" s="7">
        <f t="shared" si="0"/>
        <v>1240650</v>
      </c>
      <c r="F26" s="7" t="s">
        <v>212</v>
      </c>
    </row>
    <row r="27" spans="1:6">
      <c r="A27" s="7">
        <v>6497</v>
      </c>
      <c r="B27" s="22" t="s">
        <v>234</v>
      </c>
      <c r="C27" s="7">
        <v>450</v>
      </c>
      <c r="D27" s="7">
        <v>2757</v>
      </c>
      <c r="E27" s="7">
        <f t="shared" si="0"/>
        <v>1240650</v>
      </c>
      <c r="F27" s="7" t="s">
        <v>212</v>
      </c>
    </row>
    <row r="28" spans="1:6">
      <c r="A28" s="7">
        <v>6495</v>
      </c>
      <c r="B28" s="22" t="s">
        <v>235</v>
      </c>
      <c r="C28" s="7">
        <v>450</v>
      </c>
      <c r="D28" s="7">
        <v>2757</v>
      </c>
      <c r="E28" s="7">
        <f t="shared" si="0"/>
        <v>1240650</v>
      </c>
      <c r="F28" s="7" t="s">
        <v>212</v>
      </c>
    </row>
    <row r="29" spans="3:5">
      <c r="C29" s="8" t="s">
        <v>18</v>
      </c>
      <c r="D29" s="8"/>
      <c r="E29" s="8">
        <f>SUM(E7:E28)</f>
        <v>24950850</v>
      </c>
    </row>
  </sheetData>
  <mergeCells count="7">
    <mergeCell ref="A3:C3"/>
    <mergeCell ref="D3:F3"/>
    <mergeCell ref="A4:C4"/>
    <mergeCell ref="D4:F4"/>
    <mergeCell ref="A5:F5"/>
    <mergeCell ref="C29:D29"/>
    <mergeCell ref="A1:F2"/>
  </mergeCell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1" sqref="D11"/>
    </sheetView>
  </sheetViews>
  <sheetFormatPr defaultColWidth="9" defaultRowHeight="14.25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236</v>
      </c>
      <c r="B3" s="1"/>
      <c r="C3" s="1"/>
      <c r="D3" s="1" t="s">
        <v>201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6325</v>
      </c>
      <c r="B7" s="22" t="s">
        <v>237</v>
      </c>
      <c r="C7" s="7">
        <v>50</v>
      </c>
      <c r="D7" s="7">
        <v>1.1</v>
      </c>
      <c r="E7" s="51">
        <f t="shared" ref="E7:E15" si="0">C7*D7</f>
        <v>55</v>
      </c>
      <c r="F7" s="7" t="s">
        <v>22</v>
      </c>
    </row>
    <row r="8" spans="1:6">
      <c r="A8" s="7">
        <v>6326</v>
      </c>
      <c r="B8" s="22" t="s">
        <v>238</v>
      </c>
      <c r="C8" s="7">
        <v>50</v>
      </c>
      <c r="D8" s="7">
        <v>1.1</v>
      </c>
      <c r="E8" s="51">
        <f t="shared" si="0"/>
        <v>55</v>
      </c>
      <c r="F8" s="7" t="s">
        <v>22</v>
      </c>
    </row>
    <row r="9" spans="1:6">
      <c r="A9" s="7">
        <v>6408</v>
      </c>
      <c r="B9" s="22" t="s">
        <v>239</v>
      </c>
      <c r="C9" s="7">
        <v>50</v>
      </c>
      <c r="D9" s="7">
        <v>1.1</v>
      </c>
      <c r="E9" s="51">
        <f t="shared" si="0"/>
        <v>55</v>
      </c>
      <c r="F9" s="7" t="s">
        <v>22</v>
      </c>
    </row>
    <row r="10" spans="1:6">
      <c r="A10" s="7">
        <v>6432</v>
      </c>
      <c r="B10" s="22" t="s">
        <v>240</v>
      </c>
      <c r="C10" s="7">
        <v>50</v>
      </c>
      <c r="D10" s="7">
        <v>1.1</v>
      </c>
      <c r="E10" s="51">
        <f t="shared" si="0"/>
        <v>55</v>
      </c>
      <c r="F10" s="7" t="s">
        <v>78</v>
      </c>
    </row>
    <row r="11" spans="1:6">
      <c r="A11" s="7">
        <v>6387</v>
      </c>
      <c r="B11" s="22" t="s">
        <v>241</v>
      </c>
      <c r="C11" s="7">
        <v>50</v>
      </c>
      <c r="D11" s="7">
        <v>1.1</v>
      </c>
      <c r="E11" s="51">
        <f t="shared" si="0"/>
        <v>55</v>
      </c>
      <c r="F11" s="7" t="s">
        <v>22</v>
      </c>
    </row>
    <row r="12" spans="1:6">
      <c r="A12" s="7">
        <v>6318</v>
      </c>
      <c r="B12" s="22" t="s">
        <v>242</v>
      </c>
      <c r="C12" s="7">
        <v>50</v>
      </c>
      <c r="D12" s="7">
        <v>1.1</v>
      </c>
      <c r="E12" s="51">
        <f t="shared" si="0"/>
        <v>55</v>
      </c>
      <c r="F12" s="7" t="s">
        <v>22</v>
      </c>
    </row>
    <row r="13" spans="1:6">
      <c r="A13" s="7">
        <v>6316</v>
      </c>
      <c r="B13" s="22" t="s">
        <v>243</v>
      </c>
      <c r="C13" s="7">
        <v>50</v>
      </c>
      <c r="D13" s="7">
        <v>1.1</v>
      </c>
      <c r="E13" s="51">
        <f t="shared" si="0"/>
        <v>55</v>
      </c>
      <c r="F13" s="7" t="s">
        <v>22</v>
      </c>
    </row>
    <row r="14" spans="1:6">
      <c r="A14" s="7">
        <v>6319</v>
      </c>
      <c r="B14" s="22" t="s">
        <v>244</v>
      </c>
      <c r="C14" s="7">
        <v>50</v>
      </c>
      <c r="D14" s="7">
        <v>1.1</v>
      </c>
      <c r="E14" s="51">
        <f t="shared" si="0"/>
        <v>55</v>
      </c>
      <c r="F14" s="7" t="s">
        <v>22</v>
      </c>
    </row>
    <row r="15" spans="1:6">
      <c r="A15" s="7">
        <v>6380</v>
      </c>
      <c r="B15" s="22" t="s">
        <v>245</v>
      </c>
      <c r="C15" s="7">
        <v>50</v>
      </c>
      <c r="D15" s="7">
        <v>1.1</v>
      </c>
      <c r="E15" s="51">
        <f t="shared" si="0"/>
        <v>55</v>
      </c>
      <c r="F15" s="7" t="s">
        <v>22</v>
      </c>
    </row>
    <row r="16" spans="3:5">
      <c r="C16" s="8" t="s">
        <v>18</v>
      </c>
      <c r="D16" s="8"/>
      <c r="E16" s="52">
        <f>SUM(E7:E15)</f>
        <v>495</v>
      </c>
    </row>
  </sheetData>
  <mergeCells count="7">
    <mergeCell ref="A3:C3"/>
    <mergeCell ref="D3:F3"/>
    <mergeCell ref="A4:C4"/>
    <mergeCell ref="D4:F4"/>
    <mergeCell ref="A5:F5"/>
    <mergeCell ref="C16:D16"/>
    <mergeCell ref="A1:F2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13" sqref="E13"/>
    </sheetView>
  </sheetViews>
  <sheetFormatPr defaultColWidth="9" defaultRowHeight="14.25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246</v>
      </c>
      <c r="B3" s="1"/>
      <c r="C3" s="1"/>
      <c r="D3" s="1" t="s">
        <v>201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6325</v>
      </c>
      <c r="B7" s="22" t="s">
        <v>237</v>
      </c>
      <c r="C7" s="7">
        <v>350</v>
      </c>
      <c r="D7" s="7">
        <v>1.1</v>
      </c>
      <c r="E7" s="51">
        <f t="shared" ref="E7:E18" si="0">C7*D7</f>
        <v>385</v>
      </c>
      <c r="F7" s="7" t="s">
        <v>22</v>
      </c>
    </row>
    <row r="8" spans="1:6">
      <c r="A8" s="7">
        <v>6326</v>
      </c>
      <c r="B8" s="22" t="s">
        <v>238</v>
      </c>
      <c r="C8" s="7">
        <v>350</v>
      </c>
      <c r="D8" s="7">
        <v>1.1</v>
      </c>
      <c r="E8" s="51">
        <f t="shared" si="0"/>
        <v>385</v>
      </c>
      <c r="F8" s="7" t="s">
        <v>22</v>
      </c>
    </row>
    <row r="9" spans="1:6">
      <c r="A9" s="7">
        <v>6408</v>
      </c>
      <c r="B9" s="22" t="s">
        <v>239</v>
      </c>
      <c r="C9" s="7">
        <v>350</v>
      </c>
      <c r="D9" s="7">
        <v>1.1</v>
      </c>
      <c r="E9" s="51">
        <f t="shared" si="0"/>
        <v>385</v>
      </c>
      <c r="F9" s="7" t="s">
        <v>22</v>
      </c>
    </row>
    <row r="10" spans="1:6">
      <c r="A10" s="7">
        <v>6432</v>
      </c>
      <c r="B10" s="22" t="s">
        <v>240</v>
      </c>
      <c r="C10" s="7">
        <v>350</v>
      </c>
      <c r="D10" s="7">
        <v>1.1</v>
      </c>
      <c r="E10" s="51">
        <f t="shared" si="0"/>
        <v>385</v>
      </c>
      <c r="F10" s="7" t="s">
        <v>78</v>
      </c>
    </row>
    <row r="11" spans="1:6">
      <c r="A11" s="7">
        <v>6387</v>
      </c>
      <c r="B11" s="22" t="s">
        <v>241</v>
      </c>
      <c r="C11" s="7">
        <v>350</v>
      </c>
      <c r="D11" s="7">
        <v>1.1</v>
      </c>
      <c r="E11" s="51">
        <f t="shared" si="0"/>
        <v>385</v>
      </c>
      <c r="F11" s="7" t="s">
        <v>22</v>
      </c>
    </row>
    <row r="12" spans="1:6">
      <c r="A12" s="7">
        <v>6318</v>
      </c>
      <c r="B12" s="22" t="s">
        <v>242</v>
      </c>
      <c r="C12" s="7">
        <v>350</v>
      </c>
      <c r="D12" s="7">
        <v>1.1</v>
      </c>
      <c r="E12" s="51">
        <f t="shared" si="0"/>
        <v>385</v>
      </c>
      <c r="F12" s="7" t="s">
        <v>22</v>
      </c>
    </row>
    <row r="13" spans="1:6">
      <c r="A13" s="7">
        <v>6316</v>
      </c>
      <c r="B13" s="22" t="s">
        <v>243</v>
      </c>
      <c r="C13" s="7">
        <v>350</v>
      </c>
      <c r="D13" s="7">
        <v>1.1</v>
      </c>
      <c r="E13" s="51">
        <f t="shared" si="0"/>
        <v>385</v>
      </c>
      <c r="F13" s="7" t="s">
        <v>22</v>
      </c>
    </row>
    <row r="14" spans="1:6">
      <c r="A14" s="7">
        <v>6319</v>
      </c>
      <c r="B14" s="22" t="s">
        <v>244</v>
      </c>
      <c r="C14" s="7">
        <v>350</v>
      </c>
      <c r="D14" s="7">
        <v>1.1</v>
      </c>
      <c r="E14" s="51">
        <f t="shared" si="0"/>
        <v>385</v>
      </c>
      <c r="F14" s="7" t="s">
        <v>22</v>
      </c>
    </row>
    <row r="15" spans="1:6">
      <c r="A15" s="7">
        <v>6380</v>
      </c>
      <c r="B15" s="22" t="s">
        <v>245</v>
      </c>
      <c r="C15" s="7">
        <v>350</v>
      </c>
      <c r="D15" s="7">
        <v>1.1</v>
      </c>
      <c r="E15" s="51">
        <f t="shared" si="0"/>
        <v>385</v>
      </c>
      <c r="F15" s="7" t="s">
        <v>22</v>
      </c>
    </row>
    <row r="16" spans="1:6">
      <c r="A16" s="7">
        <v>6282</v>
      </c>
      <c r="B16" s="7" t="s">
        <v>223</v>
      </c>
      <c r="C16" s="7">
        <v>300</v>
      </c>
      <c r="D16" s="7">
        <v>1.1</v>
      </c>
      <c r="E16" s="51">
        <f t="shared" si="0"/>
        <v>330</v>
      </c>
      <c r="F16" s="7" t="s">
        <v>22</v>
      </c>
    </row>
    <row r="17" spans="1:6">
      <c r="A17" s="7">
        <v>6381</v>
      </c>
      <c r="B17" s="22" t="s">
        <v>224</v>
      </c>
      <c r="C17" s="7">
        <v>300</v>
      </c>
      <c r="D17" s="7">
        <v>1.1</v>
      </c>
      <c r="E17" s="51">
        <f t="shared" si="0"/>
        <v>330</v>
      </c>
      <c r="F17" s="7" t="s">
        <v>22</v>
      </c>
    </row>
    <row r="18" spans="1:6">
      <c r="A18" s="7">
        <v>5994</v>
      </c>
      <c r="B18" s="22" t="s">
        <v>228</v>
      </c>
      <c r="C18" s="7">
        <v>350</v>
      </c>
      <c r="D18" s="7">
        <v>1.1</v>
      </c>
      <c r="E18" s="51">
        <f t="shared" si="0"/>
        <v>385</v>
      </c>
      <c r="F18" s="7" t="s">
        <v>22</v>
      </c>
    </row>
    <row r="19" spans="3:5">
      <c r="C19" s="8" t="s">
        <v>18</v>
      </c>
      <c r="D19" s="8"/>
      <c r="E19" s="52">
        <f>SUM(E7:E18)</f>
        <v>4510</v>
      </c>
    </row>
  </sheetData>
  <mergeCells count="7">
    <mergeCell ref="A3:C3"/>
    <mergeCell ref="D3:F3"/>
    <mergeCell ref="A4:C4"/>
    <mergeCell ref="D4:F4"/>
    <mergeCell ref="A5:F5"/>
    <mergeCell ref="C19:D19"/>
    <mergeCell ref="A1:F2"/>
  </mergeCell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:F15"/>
    </sheetView>
  </sheetViews>
  <sheetFormatPr defaultColWidth="9" defaultRowHeight="14.25" outlineLevelCol="5"/>
  <cols>
    <col min="5" max="5" width="12.4416666666667" style="50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247</v>
      </c>
      <c r="B3" s="1"/>
      <c r="C3" s="1"/>
      <c r="D3" s="1" t="s">
        <v>201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51" t="s">
        <v>10</v>
      </c>
      <c r="F6" s="7" t="s">
        <v>11</v>
      </c>
    </row>
    <row r="7" spans="1:6">
      <c r="A7" s="7">
        <v>6408</v>
      </c>
      <c r="B7" s="22" t="s">
        <v>239</v>
      </c>
      <c r="C7" s="7">
        <v>40</v>
      </c>
      <c r="D7" s="7">
        <v>1.1</v>
      </c>
      <c r="E7" s="51">
        <f t="shared" ref="E7:E14" si="0">C7*D7</f>
        <v>44</v>
      </c>
      <c r="F7" s="7" t="s">
        <v>22</v>
      </c>
    </row>
    <row r="8" spans="1:6">
      <c r="A8" s="7">
        <v>6387</v>
      </c>
      <c r="B8" s="22" t="s">
        <v>241</v>
      </c>
      <c r="C8" s="7">
        <v>40</v>
      </c>
      <c r="D8" s="7">
        <v>1.1</v>
      </c>
      <c r="E8" s="51">
        <f t="shared" si="0"/>
        <v>44</v>
      </c>
      <c r="F8" s="7" t="s">
        <v>22</v>
      </c>
    </row>
    <row r="9" spans="1:6">
      <c r="A9" s="7">
        <v>6380</v>
      </c>
      <c r="B9" s="22" t="s">
        <v>245</v>
      </c>
      <c r="C9" s="7">
        <v>40</v>
      </c>
      <c r="D9" s="7">
        <v>1.1</v>
      </c>
      <c r="E9" s="51">
        <f t="shared" si="0"/>
        <v>44</v>
      </c>
      <c r="F9" s="7" t="s">
        <v>22</v>
      </c>
    </row>
    <row r="10" spans="1:6">
      <c r="A10" s="7">
        <v>6284</v>
      </c>
      <c r="B10" s="22" t="s">
        <v>84</v>
      </c>
      <c r="C10" s="7">
        <v>20</v>
      </c>
      <c r="D10" s="7">
        <v>1.1</v>
      </c>
      <c r="E10" s="51">
        <f t="shared" si="0"/>
        <v>22</v>
      </c>
      <c r="F10" s="7" t="s">
        <v>22</v>
      </c>
    </row>
    <row r="11" spans="1:6">
      <c r="A11" s="7">
        <v>6285</v>
      </c>
      <c r="B11" s="22" t="s">
        <v>85</v>
      </c>
      <c r="C11" s="7">
        <v>20</v>
      </c>
      <c r="D11" s="7">
        <v>1.1</v>
      </c>
      <c r="E11" s="51">
        <f t="shared" si="0"/>
        <v>22</v>
      </c>
      <c r="F11" s="7" t="s">
        <v>22</v>
      </c>
    </row>
    <row r="12" spans="1:6">
      <c r="A12" s="7">
        <v>6286</v>
      </c>
      <c r="B12" s="22" t="s">
        <v>86</v>
      </c>
      <c r="C12" s="7">
        <v>20</v>
      </c>
      <c r="D12" s="7">
        <v>1.1</v>
      </c>
      <c r="E12" s="51">
        <f t="shared" si="0"/>
        <v>22</v>
      </c>
      <c r="F12" s="7" t="s">
        <v>22</v>
      </c>
    </row>
    <row r="13" spans="1:6">
      <c r="A13" s="7">
        <v>6326</v>
      </c>
      <c r="B13" s="22" t="s">
        <v>238</v>
      </c>
      <c r="C13" s="7">
        <v>20</v>
      </c>
      <c r="D13" s="7">
        <v>1.1</v>
      </c>
      <c r="E13" s="51">
        <f t="shared" si="0"/>
        <v>22</v>
      </c>
      <c r="F13" s="7" t="s">
        <v>22</v>
      </c>
    </row>
    <row r="14" spans="1:6">
      <c r="A14" s="7">
        <v>6325</v>
      </c>
      <c r="B14" s="22" t="s">
        <v>237</v>
      </c>
      <c r="C14" s="7">
        <v>20</v>
      </c>
      <c r="D14" s="7">
        <v>1.1</v>
      </c>
      <c r="E14" s="51">
        <f t="shared" si="0"/>
        <v>22</v>
      </c>
      <c r="F14" s="7" t="s">
        <v>22</v>
      </c>
    </row>
    <row r="15" ht="14.4" customHeight="1" spans="3:5">
      <c r="C15" s="8" t="s">
        <v>18</v>
      </c>
      <c r="D15" s="8"/>
      <c r="E15" s="52">
        <f>SUM(E7:E14)</f>
        <v>242</v>
      </c>
    </row>
    <row r="16" ht="14.4" customHeight="1"/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8" sqref="D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248</v>
      </c>
      <c r="B3" s="1"/>
      <c r="C3" s="1"/>
      <c r="D3" s="1" t="s">
        <v>201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6299</v>
      </c>
      <c r="B7" s="22" t="s">
        <v>127</v>
      </c>
      <c r="C7" s="7">
        <v>350</v>
      </c>
      <c r="D7" s="7">
        <v>2987</v>
      </c>
      <c r="E7" s="7">
        <f t="shared" ref="E7:E8" si="0">C7*D7</f>
        <v>1045450</v>
      </c>
      <c r="F7" s="7" t="s">
        <v>22</v>
      </c>
    </row>
    <row r="8" spans="1:6">
      <c r="A8" s="7">
        <v>6298</v>
      </c>
      <c r="B8" s="22" t="s">
        <v>126</v>
      </c>
      <c r="C8" s="7">
        <v>350</v>
      </c>
      <c r="D8" s="7">
        <v>2987</v>
      </c>
      <c r="E8" s="7">
        <f t="shared" si="0"/>
        <v>1045450</v>
      </c>
      <c r="F8" s="7" t="s">
        <v>22</v>
      </c>
    </row>
    <row r="9" spans="3:5">
      <c r="C9" s="8" t="s">
        <v>18</v>
      </c>
      <c r="D9" s="8"/>
      <c r="E9" s="8">
        <f>SUM(E7:E8)</f>
        <v>2090900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7" sqref="D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249</v>
      </c>
      <c r="B3" s="1"/>
      <c r="C3" s="1"/>
      <c r="D3" s="1" t="s">
        <v>250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6311</v>
      </c>
      <c r="B7" s="22" t="s">
        <v>251</v>
      </c>
      <c r="C7" s="7">
        <v>450</v>
      </c>
      <c r="D7" s="7">
        <v>2757</v>
      </c>
      <c r="E7" s="7">
        <f t="shared" ref="E7:E9" si="0">C7*D7</f>
        <v>1240650</v>
      </c>
      <c r="F7" s="7" t="s">
        <v>13</v>
      </c>
    </row>
    <row r="8" spans="1:6">
      <c r="A8" s="7">
        <v>6453</v>
      </c>
      <c r="B8" s="22" t="s">
        <v>252</v>
      </c>
      <c r="C8" s="7">
        <v>450</v>
      </c>
      <c r="D8" s="7">
        <v>2757</v>
      </c>
      <c r="E8" s="7">
        <f t="shared" si="0"/>
        <v>1240650</v>
      </c>
      <c r="F8" s="7" t="s">
        <v>189</v>
      </c>
    </row>
    <row r="9" spans="1:6">
      <c r="A9" s="7">
        <v>6189</v>
      </c>
      <c r="B9" s="22" t="s">
        <v>253</v>
      </c>
      <c r="C9" s="7">
        <v>450</v>
      </c>
      <c r="D9" s="7">
        <v>2757</v>
      </c>
      <c r="E9" s="7">
        <f t="shared" si="0"/>
        <v>1240650</v>
      </c>
      <c r="F9" s="7" t="s">
        <v>17</v>
      </c>
    </row>
    <row r="10" spans="3:5">
      <c r="C10" s="8" t="s">
        <v>18</v>
      </c>
      <c r="D10" s="8"/>
      <c r="E10" s="8">
        <f>SUM(E7:E9)</f>
        <v>3721950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9" sqref="E19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254</v>
      </c>
      <c r="B3" s="1"/>
      <c r="C3" s="1"/>
      <c r="D3" s="1" t="s">
        <v>250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6052</v>
      </c>
      <c r="B7" s="22" t="s">
        <v>182</v>
      </c>
      <c r="C7" s="7">
        <v>260</v>
      </c>
      <c r="D7" s="7">
        <v>2757</v>
      </c>
      <c r="E7" s="7">
        <f t="shared" ref="E7" si="0">C7*D7</f>
        <v>716820</v>
      </c>
      <c r="F7" s="7" t="s">
        <v>22</v>
      </c>
    </row>
    <row r="8" spans="3:5">
      <c r="C8" s="8" t="s">
        <v>18</v>
      </c>
      <c r="D8" s="8"/>
      <c r="E8" s="8">
        <f>SUM(E7:E7)</f>
        <v>716820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9" sqref="E9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255</v>
      </c>
      <c r="B3" s="1"/>
      <c r="C3" s="1"/>
      <c r="D3" s="1" t="s">
        <v>250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 t="s">
        <v>57</v>
      </c>
      <c r="B7" s="22" t="s">
        <v>256</v>
      </c>
      <c r="C7" s="7">
        <v>50</v>
      </c>
      <c r="D7" s="7">
        <v>2710</v>
      </c>
      <c r="E7" s="7">
        <f t="shared" ref="E7" si="0">C7*D7</f>
        <v>135500</v>
      </c>
      <c r="F7" s="7" t="s">
        <v>22</v>
      </c>
    </row>
    <row r="8" spans="3:5">
      <c r="C8" s="8" t="s">
        <v>18</v>
      </c>
      <c r="D8" s="8"/>
      <c r="E8" s="8">
        <f>SUM(E7:E7)</f>
        <v>135500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9" sqref="C9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257</v>
      </c>
      <c r="B3" s="1"/>
      <c r="C3" s="1"/>
      <c r="D3" s="1" t="s">
        <v>250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6381</v>
      </c>
      <c r="B7" s="22" t="s">
        <v>224</v>
      </c>
      <c r="C7" s="7">
        <v>60</v>
      </c>
      <c r="D7" s="7">
        <v>1.1</v>
      </c>
      <c r="E7" s="7">
        <f t="shared" ref="E7" si="0">C7*D7</f>
        <v>66</v>
      </c>
      <c r="F7" s="7" t="s">
        <v>22</v>
      </c>
    </row>
    <row r="8" spans="3:5">
      <c r="C8" s="8" t="s">
        <v>18</v>
      </c>
      <c r="D8" s="8"/>
      <c r="E8" s="8">
        <f>SUM(E7:E7)</f>
        <v>66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1" sqref="F11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258</v>
      </c>
      <c r="B3" s="1"/>
      <c r="C3" s="1"/>
      <c r="D3" s="1" t="s">
        <v>250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6162</v>
      </c>
      <c r="B7" s="22" t="s">
        <v>210</v>
      </c>
      <c r="C7" s="7">
        <v>50</v>
      </c>
      <c r="D7" s="7">
        <v>1.1</v>
      </c>
      <c r="E7" s="7">
        <f t="shared" ref="E7" si="0">C7*D7</f>
        <v>55</v>
      </c>
      <c r="F7" s="7" t="s">
        <v>189</v>
      </c>
    </row>
    <row r="8" spans="3:5">
      <c r="C8" s="8" t="s">
        <v>18</v>
      </c>
      <c r="D8" s="8"/>
      <c r="E8" s="8">
        <f>SUM(E7:E7)</f>
        <v>55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6" sqref="F16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259</v>
      </c>
      <c r="B3" s="1"/>
      <c r="C3" s="1"/>
      <c r="D3" s="1" t="s">
        <v>250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6192</v>
      </c>
      <c r="B7" s="22" t="s">
        <v>260</v>
      </c>
      <c r="C7" s="7">
        <v>450</v>
      </c>
      <c r="D7" s="7">
        <v>2757</v>
      </c>
      <c r="E7" s="7">
        <f t="shared" ref="E7:E10" si="0">C7*D7</f>
        <v>1240650</v>
      </c>
      <c r="F7" s="7" t="s">
        <v>13</v>
      </c>
    </row>
    <row r="8" spans="1:6">
      <c r="A8" s="7">
        <v>6467</v>
      </c>
      <c r="B8" s="22" t="s">
        <v>261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6500</v>
      </c>
      <c r="B9" s="22" t="s">
        <v>262</v>
      </c>
      <c r="C9" s="7">
        <v>450</v>
      </c>
      <c r="D9" s="7">
        <v>2757</v>
      </c>
      <c r="E9" s="7">
        <f t="shared" si="0"/>
        <v>1240650</v>
      </c>
      <c r="F9" s="7" t="s">
        <v>212</v>
      </c>
    </row>
    <row r="10" spans="1:6">
      <c r="A10" s="7">
        <v>6266</v>
      </c>
      <c r="B10" s="22" t="s">
        <v>117</v>
      </c>
      <c r="C10" s="7">
        <v>400</v>
      </c>
      <c r="D10" s="7">
        <v>2757</v>
      </c>
      <c r="E10" s="7">
        <f t="shared" si="0"/>
        <v>1102800</v>
      </c>
      <c r="F10" s="7" t="s">
        <v>22</v>
      </c>
    </row>
    <row r="11" spans="3:5">
      <c r="C11" s="8" t="s">
        <v>18</v>
      </c>
      <c r="D11" s="8"/>
      <c r="E11" s="8">
        <f>SUM(E7:E10)</f>
        <v>4824750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6" sqref="E6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263</v>
      </c>
      <c r="B3" s="1"/>
      <c r="C3" s="1"/>
      <c r="D3" s="1" t="s">
        <v>250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6266</v>
      </c>
      <c r="B7" s="22" t="s">
        <v>117</v>
      </c>
      <c r="C7" s="7">
        <v>100</v>
      </c>
      <c r="D7" s="7">
        <v>2875</v>
      </c>
      <c r="E7" s="7">
        <f t="shared" ref="E7" si="0">C7*D7</f>
        <v>287500</v>
      </c>
      <c r="F7" s="7" t="s">
        <v>22</v>
      </c>
    </row>
    <row r="8" spans="3:5">
      <c r="C8" s="8" t="s">
        <v>18</v>
      </c>
      <c r="D8" s="8"/>
      <c r="E8" s="8">
        <f>SUM(E7:E7)</f>
        <v>287500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A2" workbookViewId="0">
      <selection activeCell="M28" sqref="M27:M2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264</v>
      </c>
      <c r="B3" s="1"/>
      <c r="C3" s="1"/>
      <c r="D3" s="1" t="s">
        <v>265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6184</v>
      </c>
      <c r="B7" s="22" t="s">
        <v>166</v>
      </c>
      <c r="C7" s="7">
        <v>560</v>
      </c>
      <c r="D7" s="7">
        <v>1.1</v>
      </c>
      <c r="E7" s="7">
        <f t="shared" ref="E7:E17" si="0">C7*D7</f>
        <v>616</v>
      </c>
      <c r="F7" s="7" t="s">
        <v>266</v>
      </c>
    </row>
    <row r="8" spans="1:6">
      <c r="A8" s="7">
        <v>6170</v>
      </c>
      <c r="B8" s="22" t="s">
        <v>167</v>
      </c>
      <c r="C8" s="7">
        <v>560</v>
      </c>
      <c r="D8" s="7">
        <v>1.1</v>
      </c>
      <c r="E8" s="7">
        <f t="shared" si="0"/>
        <v>616</v>
      </c>
      <c r="F8" s="7" t="s">
        <v>266</v>
      </c>
    </row>
    <row r="9" spans="1:6">
      <c r="A9" s="7">
        <v>6196</v>
      </c>
      <c r="B9" s="22" t="s">
        <v>198</v>
      </c>
      <c r="C9" s="7">
        <v>600</v>
      </c>
      <c r="D9" s="7">
        <v>1.1</v>
      </c>
      <c r="E9" s="7">
        <f t="shared" si="0"/>
        <v>660</v>
      </c>
      <c r="F9" s="7" t="s">
        <v>13</v>
      </c>
    </row>
    <row r="10" spans="1:6">
      <c r="A10" s="7">
        <v>6198</v>
      </c>
      <c r="B10" s="22" t="s">
        <v>172</v>
      </c>
      <c r="C10" s="7">
        <v>560</v>
      </c>
      <c r="D10" s="7">
        <v>1.1</v>
      </c>
      <c r="E10" s="7">
        <f t="shared" si="0"/>
        <v>616</v>
      </c>
      <c r="F10" s="7" t="s">
        <v>13</v>
      </c>
    </row>
    <row r="11" spans="1:6">
      <c r="A11" s="7">
        <v>6350</v>
      </c>
      <c r="B11" s="22" t="s">
        <v>94</v>
      </c>
      <c r="C11" s="7">
        <v>560</v>
      </c>
      <c r="D11" s="7">
        <v>1.1</v>
      </c>
      <c r="E11" s="7">
        <f t="shared" si="0"/>
        <v>616</v>
      </c>
      <c r="F11" s="7" t="s">
        <v>13</v>
      </c>
    </row>
    <row r="12" spans="1:6">
      <c r="A12" s="7">
        <v>6401</v>
      </c>
      <c r="B12" s="22" t="s">
        <v>54</v>
      </c>
      <c r="C12" s="7">
        <v>360</v>
      </c>
      <c r="D12" s="7">
        <v>1.1</v>
      </c>
      <c r="E12" s="7">
        <f t="shared" si="0"/>
        <v>396</v>
      </c>
      <c r="F12" s="7" t="s">
        <v>189</v>
      </c>
    </row>
    <row r="13" spans="1:6">
      <c r="A13" s="7">
        <v>6352</v>
      </c>
      <c r="B13" s="22" t="s">
        <v>169</v>
      </c>
      <c r="C13" s="7">
        <v>560</v>
      </c>
      <c r="D13" s="7">
        <v>1.1</v>
      </c>
      <c r="E13" s="7">
        <f t="shared" si="0"/>
        <v>616</v>
      </c>
      <c r="F13" s="7" t="s">
        <v>13</v>
      </c>
    </row>
    <row r="14" spans="1:6">
      <c r="A14" s="7">
        <v>6343</v>
      </c>
      <c r="B14" s="22" t="s">
        <v>168</v>
      </c>
      <c r="C14" s="7">
        <v>560</v>
      </c>
      <c r="D14" s="7">
        <v>1.1</v>
      </c>
      <c r="E14" s="7">
        <f t="shared" si="0"/>
        <v>616</v>
      </c>
      <c r="F14" s="7" t="s">
        <v>13</v>
      </c>
    </row>
    <row r="15" spans="1:6">
      <c r="A15" s="7">
        <v>6344</v>
      </c>
      <c r="B15" s="22" t="s">
        <v>170</v>
      </c>
      <c r="C15" s="7">
        <v>560</v>
      </c>
      <c r="D15" s="7">
        <v>1.1</v>
      </c>
      <c r="E15" s="7">
        <f t="shared" si="0"/>
        <v>616</v>
      </c>
      <c r="F15" s="7" t="s">
        <v>13</v>
      </c>
    </row>
    <row r="16" spans="1:6">
      <c r="A16" s="7">
        <v>6395</v>
      </c>
      <c r="B16" s="22" t="s">
        <v>197</v>
      </c>
      <c r="C16" s="7">
        <v>400</v>
      </c>
      <c r="D16" s="7">
        <v>1.1</v>
      </c>
      <c r="E16" s="7">
        <f t="shared" si="0"/>
        <v>440</v>
      </c>
      <c r="F16" s="7" t="s">
        <v>189</v>
      </c>
    </row>
    <row r="17" spans="1:6">
      <c r="A17" s="7">
        <v>6402</v>
      </c>
      <c r="B17" s="22" t="s">
        <v>173</v>
      </c>
      <c r="C17" s="7">
        <v>360</v>
      </c>
      <c r="D17" s="7">
        <v>1.1</v>
      </c>
      <c r="E17" s="7">
        <f t="shared" si="0"/>
        <v>396</v>
      </c>
      <c r="F17" s="7" t="s">
        <v>189</v>
      </c>
    </row>
    <row r="18" spans="3:5">
      <c r="C18" s="8" t="s">
        <v>18</v>
      </c>
      <c r="D18" s="8"/>
      <c r="E18" s="8">
        <f>SUM(E7:E17)</f>
        <v>6204</v>
      </c>
    </row>
  </sheetData>
  <mergeCells count="7">
    <mergeCell ref="A3:C3"/>
    <mergeCell ref="D3:F3"/>
    <mergeCell ref="A4:C4"/>
    <mergeCell ref="D4:F4"/>
    <mergeCell ref="A5:F5"/>
    <mergeCell ref="C18:D18"/>
    <mergeCell ref="A1:F2"/>
  </mergeCell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4" sqref="A4:C4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267</v>
      </c>
      <c r="B3" s="1"/>
      <c r="C3" s="1"/>
      <c r="D3" s="1" t="s">
        <v>250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6368</v>
      </c>
      <c r="B7" s="22" t="s">
        <v>147</v>
      </c>
      <c r="C7" s="7">
        <v>100</v>
      </c>
      <c r="D7" s="7">
        <v>2875</v>
      </c>
      <c r="E7" s="7">
        <f t="shared" ref="E7" si="0">C7*D7</f>
        <v>287500</v>
      </c>
      <c r="F7" s="7" t="s">
        <v>22</v>
      </c>
    </row>
    <row r="8" spans="3:5">
      <c r="C8" s="8" t="s">
        <v>18</v>
      </c>
      <c r="D8" s="8"/>
      <c r="E8" s="8">
        <f>SUM(E7:E7)</f>
        <v>287500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I16" sqref="I16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268</v>
      </c>
      <c r="B3" s="1"/>
      <c r="C3" s="1"/>
      <c r="D3" s="1" t="s">
        <v>250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6368</v>
      </c>
      <c r="B7" s="22" t="s">
        <v>147</v>
      </c>
      <c r="C7" s="7">
        <v>400</v>
      </c>
      <c r="D7" s="7">
        <v>2757</v>
      </c>
      <c r="E7" s="7">
        <f t="shared" ref="E7" si="0">C7*D7</f>
        <v>1102800</v>
      </c>
      <c r="F7" s="7" t="s">
        <v>22</v>
      </c>
    </row>
    <row r="8" spans="3:5">
      <c r="C8" s="8" t="s">
        <v>18</v>
      </c>
      <c r="D8" s="8"/>
      <c r="E8" s="8">
        <f>SUM(E7:E7)</f>
        <v>1102800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8" sqref="E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269</v>
      </c>
      <c r="B3" s="1"/>
      <c r="C3" s="1"/>
      <c r="D3" s="1" t="s">
        <v>250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6353</v>
      </c>
      <c r="B7" s="22" t="s">
        <v>155</v>
      </c>
      <c r="C7" s="7">
        <v>60</v>
      </c>
      <c r="D7" s="7">
        <v>1.1</v>
      </c>
      <c r="E7" s="7">
        <f t="shared" ref="E7:E11" si="0">C7*D7</f>
        <v>66</v>
      </c>
      <c r="F7" s="7" t="s">
        <v>22</v>
      </c>
    </row>
    <row r="8" spans="1:6">
      <c r="A8" s="7">
        <v>6355</v>
      </c>
      <c r="B8" s="22" t="s">
        <v>143</v>
      </c>
      <c r="C8" s="7">
        <v>60</v>
      </c>
      <c r="D8" s="7">
        <v>1.1</v>
      </c>
      <c r="E8" s="7">
        <f t="shared" si="0"/>
        <v>66</v>
      </c>
      <c r="F8" s="7" t="s">
        <v>22</v>
      </c>
    </row>
    <row r="9" spans="1:6">
      <c r="A9" s="7">
        <v>6356</v>
      </c>
      <c r="B9" s="22" t="s">
        <v>153</v>
      </c>
      <c r="C9" s="7">
        <v>60</v>
      </c>
      <c r="D9" s="7">
        <v>1.1</v>
      </c>
      <c r="E9" s="7">
        <f t="shared" si="0"/>
        <v>66</v>
      </c>
      <c r="F9" s="7" t="s">
        <v>22</v>
      </c>
    </row>
    <row r="10" spans="1:6">
      <c r="A10" s="7">
        <v>6354</v>
      </c>
      <c r="B10" s="22" t="s">
        <v>150</v>
      </c>
      <c r="C10" s="7">
        <v>60</v>
      </c>
      <c r="D10" s="7">
        <v>1.1</v>
      </c>
      <c r="E10" s="7">
        <f t="shared" si="0"/>
        <v>66</v>
      </c>
      <c r="F10" s="7" t="s">
        <v>22</v>
      </c>
    </row>
    <row r="11" spans="1:6">
      <c r="A11" s="7">
        <v>6357</v>
      </c>
      <c r="B11" s="22" t="s">
        <v>145</v>
      </c>
      <c r="C11" s="7">
        <v>60</v>
      </c>
      <c r="D11" s="7">
        <v>1.1</v>
      </c>
      <c r="E11" s="7">
        <f t="shared" si="0"/>
        <v>66</v>
      </c>
      <c r="F11" s="7" t="s">
        <v>22</v>
      </c>
    </row>
    <row r="12" spans="3:5">
      <c r="C12" s="8" t="s">
        <v>18</v>
      </c>
      <c r="D12" s="8"/>
      <c r="E12" s="8">
        <f>SUM(E7:E11)</f>
        <v>330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4" sqref="E14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270</v>
      </c>
      <c r="B3" s="1"/>
      <c r="C3" s="1"/>
      <c r="D3" s="1" t="s">
        <v>265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6165</v>
      </c>
      <c r="B7" s="22" t="s">
        <v>108</v>
      </c>
      <c r="C7" s="7">
        <v>100</v>
      </c>
      <c r="D7" s="7">
        <v>1.1</v>
      </c>
      <c r="E7" s="7">
        <f t="shared" ref="E7" si="0">C7*D7</f>
        <v>110</v>
      </c>
      <c r="F7" s="7" t="s">
        <v>17</v>
      </c>
    </row>
    <row r="8" spans="3:5">
      <c r="C8" s="8" t="s">
        <v>18</v>
      </c>
      <c r="D8" s="8"/>
      <c r="E8" s="8">
        <f>SUM(E7:E7)</f>
        <v>110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7" sqref="C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271</v>
      </c>
      <c r="B3" s="1"/>
      <c r="C3" s="1"/>
      <c r="D3" s="1" t="s">
        <v>272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6256</v>
      </c>
      <c r="B7" s="22" t="s">
        <v>87</v>
      </c>
      <c r="C7" s="7">
        <v>350</v>
      </c>
      <c r="D7" s="7">
        <v>2987</v>
      </c>
      <c r="E7" s="7">
        <f t="shared" ref="E7:E8" si="0">C7*D7</f>
        <v>1045450</v>
      </c>
      <c r="F7" s="7" t="s">
        <v>22</v>
      </c>
    </row>
    <row r="8" spans="1:6">
      <c r="A8" s="7">
        <v>6285</v>
      </c>
      <c r="B8" s="22" t="s">
        <v>85</v>
      </c>
      <c r="C8" s="7">
        <v>350</v>
      </c>
      <c r="D8" s="7">
        <v>2987</v>
      </c>
      <c r="E8" s="7">
        <f t="shared" si="0"/>
        <v>1045450</v>
      </c>
      <c r="F8" s="7" t="s">
        <v>22</v>
      </c>
    </row>
    <row r="9" spans="3:5">
      <c r="C9" s="8" t="s">
        <v>18</v>
      </c>
      <c r="D9" s="8"/>
      <c r="E9" s="8">
        <f>SUM(E7:E8)</f>
        <v>2090900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7" sqref="D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273</v>
      </c>
      <c r="B3" s="1"/>
      <c r="C3" s="1"/>
      <c r="D3" s="1" t="s">
        <v>272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6455</v>
      </c>
      <c r="B7" s="22" t="s">
        <v>274</v>
      </c>
      <c r="C7" s="7">
        <v>450</v>
      </c>
      <c r="D7" s="7">
        <v>2757</v>
      </c>
      <c r="E7" s="7">
        <f t="shared" ref="E7:E11" si="0">C7*D7</f>
        <v>1240650</v>
      </c>
      <c r="F7" s="7" t="s">
        <v>189</v>
      </c>
    </row>
    <row r="8" spans="1:6">
      <c r="A8" s="7">
        <v>6473</v>
      </c>
      <c r="B8" s="22" t="s">
        <v>275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6449</v>
      </c>
      <c r="B9" s="22" t="s">
        <v>276</v>
      </c>
      <c r="C9" s="7">
        <v>450</v>
      </c>
      <c r="D9" s="7">
        <v>2757</v>
      </c>
      <c r="E9" s="7">
        <f t="shared" si="0"/>
        <v>1240650</v>
      </c>
      <c r="F9" s="7" t="s">
        <v>189</v>
      </c>
    </row>
    <row r="10" spans="1:6">
      <c r="A10" s="7">
        <v>6452</v>
      </c>
      <c r="B10" s="22" t="s">
        <v>277</v>
      </c>
      <c r="C10" s="7">
        <v>450</v>
      </c>
      <c r="D10" s="7">
        <v>2757</v>
      </c>
      <c r="E10" s="7">
        <f t="shared" si="0"/>
        <v>1240650</v>
      </c>
      <c r="F10" s="7" t="s">
        <v>189</v>
      </c>
    </row>
    <row r="11" spans="1:6">
      <c r="A11" s="7">
        <v>6471</v>
      </c>
      <c r="B11" s="22" t="s">
        <v>278</v>
      </c>
      <c r="C11" s="7">
        <v>450</v>
      </c>
      <c r="D11" s="7">
        <v>2757</v>
      </c>
      <c r="E11" s="7">
        <f t="shared" si="0"/>
        <v>1240650</v>
      </c>
      <c r="F11" s="7" t="s">
        <v>13</v>
      </c>
    </row>
    <row r="12" spans="3:5">
      <c r="C12" s="8" t="s">
        <v>18</v>
      </c>
      <c r="D12" s="8"/>
      <c r="E12" s="8">
        <f>SUM(E7:E11)</f>
        <v>6203250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10" sqref="C10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279</v>
      </c>
      <c r="B3" s="1"/>
      <c r="C3" s="1"/>
      <c r="D3" s="1" t="s">
        <v>272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6052</v>
      </c>
      <c r="B7" s="22" t="s">
        <v>182</v>
      </c>
      <c r="C7" s="7">
        <v>40</v>
      </c>
      <c r="D7" s="7">
        <v>2710</v>
      </c>
      <c r="E7" s="7">
        <f t="shared" ref="E7" si="0">C7*D7</f>
        <v>108400</v>
      </c>
      <c r="F7" s="7" t="s">
        <v>22</v>
      </c>
    </row>
    <row r="8" spans="3:5">
      <c r="C8" s="8" t="s">
        <v>18</v>
      </c>
      <c r="D8" s="8"/>
      <c r="E8" s="8">
        <f>SUM(E7:E7)</f>
        <v>108400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8" sqref="A8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280</v>
      </c>
      <c r="B3" s="1"/>
      <c r="C3" s="1"/>
      <c r="D3" s="1" t="s">
        <v>272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6181</v>
      </c>
      <c r="B7" s="22" t="s">
        <v>206</v>
      </c>
      <c r="C7" s="7">
        <v>420</v>
      </c>
      <c r="D7" s="7">
        <v>2987</v>
      </c>
      <c r="E7" s="7">
        <f t="shared" ref="E7" si="0">C7*D7</f>
        <v>1254540</v>
      </c>
      <c r="F7" s="7" t="s">
        <v>17</v>
      </c>
    </row>
    <row r="8" spans="3:5">
      <c r="C8" s="8" t="s">
        <v>18</v>
      </c>
      <c r="D8" s="8"/>
      <c r="E8" s="8">
        <f>SUM(E7:E7)</f>
        <v>1254540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C12" sqref="C12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281</v>
      </c>
      <c r="B3" s="1"/>
      <c r="C3" s="1"/>
      <c r="D3" s="1" t="s">
        <v>272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6278</v>
      </c>
      <c r="B7" s="22" t="s">
        <v>282</v>
      </c>
      <c r="C7" s="7">
        <v>50</v>
      </c>
      <c r="D7" s="7">
        <v>1.1</v>
      </c>
      <c r="E7" s="7">
        <f t="shared" ref="E7:E21" si="0">C7*D7</f>
        <v>55</v>
      </c>
      <c r="F7" s="7" t="s">
        <v>22</v>
      </c>
    </row>
    <row r="8" spans="1:6">
      <c r="A8" s="7">
        <v>6281</v>
      </c>
      <c r="B8" s="22" t="s">
        <v>283</v>
      </c>
      <c r="C8" s="7">
        <v>50</v>
      </c>
      <c r="D8" s="7">
        <v>1.1</v>
      </c>
      <c r="E8" s="7">
        <f t="shared" si="0"/>
        <v>55</v>
      </c>
      <c r="F8" s="7" t="s">
        <v>22</v>
      </c>
    </row>
    <row r="9" spans="1:6">
      <c r="A9" s="7">
        <v>6268</v>
      </c>
      <c r="B9" s="22" t="s">
        <v>284</v>
      </c>
      <c r="C9" s="7">
        <v>50</v>
      </c>
      <c r="D9" s="7">
        <v>1.1</v>
      </c>
      <c r="E9" s="7">
        <f t="shared" si="0"/>
        <v>55</v>
      </c>
      <c r="F9" s="7" t="s">
        <v>22</v>
      </c>
    </row>
    <row r="10" spans="1:6">
      <c r="A10" s="7">
        <v>6169</v>
      </c>
      <c r="B10" s="22" t="s">
        <v>285</v>
      </c>
      <c r="C10" s="7">
        <v>50</v>
      </c>
      <c r="D10" s="7">
        <v>1.1</v>
      </c>
      <c r="E10" s="7">
        <f t="shared" si="0"/>
        <v>55</v>
      </c>
      <c r="F10" s="7" t="s">
        <v>22</v>
      </c>
    </row>
    <row r="11" spans="1:6">
      <c r="A11" s="7">
        <v>6270</v>
      </c>
      <c r="B11" s="22" t="s">
        <v>286</v>
      </c>
      <c r="C11" s="7">
        <v>50</v>
      </c>
      <c r="D11" s="7">
        <v>1.1</v>
      </c>
      <c r="E11" s="7">
        <f t="shared" si="0"/>
        <v>55</v>
      </c>
      <c r="F11" s="7" t="s">
        <v>22</v>
      </c>
    </row>
    <row r="12" spans="1:6">
      <c r="A12" s="7">
        <v>6271</v>
      </c>
      <c r="B12" s="22" t="s">
        <v>287</v>
      </c>
      <c r="C12" s="7">
        <v>50</v>
      </c>
      <c r="D12" s="7">
        <v>1.1</v>
      </c>
      <c r="E12" s="7">
        <f t="shared" si="0"/>
        <v>55</v>
      </c>
      <c r="F12" s="7" t="s">
        <v>22</v>
      </c>
    </row>
    <row r="13" spans="1:6">
      <c r="A13" s="7">
        <v>6272</v>
      </c>
      <c r="B13" s="22" t="s">
        <v>288</v>
      </c>
      <c r="C13" s="7">
        <v>50</v>
      </c>
      <c r="D13" s="7">
        <v>1.1</v>
      </c>
      <c r="E13" s="7">
        <f t="shared" si="0"/>
        <v>55</v>
      </c>
      <c r="F13" s="7" t="s">
        <v>22</v>
      </c>
    </row>
    <row r="14" spans="1:6">
      <c r="A14" s="7">
        <v>6275</v>
      </c>
      <c r="B14" s="22" t="s">
        <v>289</v>
      </c>
      <c r="C14" s="7">
        <v>50</v>
      </c>
      <c r="D14" s="7">
        <v>1.1</v>
      </c>
      <c r="E14" s="7">
        <f t="shared" si="0"/>
        <v>55</v>
      </c>
      <c r="F14" s="7" t="s">
        <v>22</v>
      </c>
    </row>
    <row r="15" spans="1:6">
      <c r="A15" s="7">
        <v>6276</v>
      </c>
      <c r="B15" s="22" t="s">
        <v>290</v>
      </c>
      <c r="C15" s="7">
        <v>50</v>
      </c>
      <c r="D15" s="7">
        <v>1.1</v>
      </c>
      <c r="E15" s="7">
        <f t="shared" si="0"/>
        <v>55</v>
      </c>
      <c r="F15" s="7" t="s">
        <v>22</v>
      </c>
    </row>
    <row r="16" spans="1:6">
      <c r="A16" s="7">
        <v>6277</v>
      </c>
      <c r="B16" s="22" t="s">
        <v>291</v>
      </c>
      <c r="C16" s="7">
        <v>50</v>
      </c>
      <c r="D16" s="7">
        <v>1.1</v>
      </c>
      <c r="E16" s="7">
        <f t="shared" si="0"/>
        <v>55</v>
      </c>
      <c r="F16" s="7" t="s">
        <v>22</v>
      </c>
    </row>
    <row r="17" spans="1:6">
      <c r="A17" s="7">
        <v>6279</v>
      </c>
      <c r="B17" s="22" t="s">
        <v>292</v>
      </c>
      <c r="C17" s="7">
        <v>50</v>
      </c>
      <c r="D17" s="7">
        <v>1.1</v>
      </c>
      <c r="E17" s="7">
        <f t="shared" si="0"/>
        <v>55</v>
      </c>
      <c r="F17" s="7" t="s">
        <v>22</v>
      </c>
    </row>
    <row r="18" spans="1:6">
      <c r="A18" s="7">
        <v>6430</v>
      </c>
      <c r="B18" s="22" t="s">
        <v>293</v>
      </c>
      <c r="C18" s="7">
        <v>50</v>
      </c>
      <c r="D18" s="7">
        <v>1.1</v>
      </c>
      <c r="E18" s="7">
        <f t="shared" si="0"/>
        <v>55</v>
      </c>
      <c r="F18" s="7" t="s">
        <v>22</v>
      </c>
    </row>
    <row r="19" spans="1:6">
      <c r="A19" s="7">
        <v>6426</v>
      </c>
      <c r="B19" s="22" t="s">
        <v>294</v>
      </c>
      <c r="C19" s="7">
        <v>50</v>
      </c>
      <c r="D19" s="7">
        <v>1.1</v>
      </c>
      <c r="E19" s="7">
        <f t="shared" si="0"/>
        <v>55</v>
      </c>
      <c r="F19" s="7" t="s">
        <v>22</v>
      </c>
    </row>
    <row r="20" spans="1:6">
      <c r="A20" s="7">
        <v>6283</v>
      </c>
      <c r="B20" s="22" t="s">
        <v>295</v>
      </c>
      <c r="C20" s="7">
        <v>50</v>
      </c>
      <c r="D20" s="7">
        <v>1.1</v>
      </c>
      <c r="E20" s="7">
        <f t="shared" si="0"/>
        <v>55</v>
      </c>
      <c r="F20" s="7" t="s">
        <v>22</v>
      </c>
    </row>
    <row r="21" spans="1:6">
      <c r="A21" s="7">
        <v>6389</v>
      </c>
      <c r="B21" s="22" t="s">
        <v>296</v>
      </c>
      <c r="C21" s="7">
        <v>50</v>
      </c>
      <c r="D21" s="7">
        <v>1.1</v>
      </c>
      <c r="E21" s="7">
        <f t="shared" si="0"/>
        <v>55</v>
      </c>
      <c r="F21" s="7" t="s">
        <v>22</v>
      </c>
    </row>
    <row r="22" spans="3:6">
      <c r="C22" s="8" t="s">
        <v>18</v>
      </c>
      <c r="D22" s="8"/>
      <c r="E22" s="8">
        <f>SUM(E7:E7)</f>
        <v>55</v>
      </c>
      <c r="F22" s="21"/>
    </row>
    <row r="23" spans="6:6">
      <c r="F23" s="21"/>
    </row>
  </sheetData>
  <mergeCells count="7">
    <mergeCell ref="A3:C3"/>
    <mergeCell ref="D3:F3"/>
    <mergeCell ref="A4:C4"/>
    <mergeCell ref="D4:F4"/>
    <mergeCell ref="A5:F5"/>
    <mergeCell ref="C22:D22"/>
    <mergeCell ref="A1:F2"/>
  </mergeCell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10" sqref="E1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297</v>
      </c>
      <c r="B3" s="1"/>
      <c r="C3" s="1"/>
      <c r="D3" s="1" t="s">
        <v>272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6278</v>
      </c>
      <c r="B7" s="22" t="s">
        <v>282</v>
      </c>
      <c r="C7" s="7">
        <v>350</v>
      </c>
      <c r="D7" s="7">
        <v>1.1</v>
      </c>
      <c r="E7" s="7">
        <f t="shared" ref="E7:E21" si="0">C7*D7</f>
        <v>385</v>
      </c>
      <c r="F7" s="7" t="s">
        <v>22</v>
      </c>
    </row>
    <row r="8" spans="1:6">
      <c r="A8" s="7">
        <v>6281</v>
      </c>
      <c r="B8" s="22" t="s">
        <v>283</v>
      </c>
      <c r="C8" s="7">
        <v>350</v>
      </c>
      <c r="D8" s="7">
        <v>1.1</v>
      </c>
      <c r="E8" s="7">
        <f t="shared" si="0"/>
        <v>385</v>
      </c>
      <c r="F8" s="7" t="s">
        <v>22</v>
      </c>
    </row>
    <row r="9" spans="1:6">
      <c r="A9" s="7">
        <v>6268</v>
      </c>
      <c r="B9" s="22" t="s">
        <v>284</v>
      </c>
      <c r="C9" s="7">
        <v>350</v>
      </c>
      <c r="D9" s="7">
        <v>1.1</v>
      </c>
      <c r="E9" s="7">
        <f t="shared" si="0"/>
        <v>385</v>
      </c>
      <c r="F9" s="7" t="s">
        <v>22</v>
      </c>
    </row>
    <row r="10" spans="1:6">
      <c r="A10" s="7">
        <v>6169</v>
      </c>
      <c r="B10" s="22" t="s">
        <v>285</v>
      </c>
      <c r="C10" s="7">
        <v>350</v>
      </c>
      <c r="D10" s="7">
        <v>1.1</v>
      </c>
      <c r="E10" s="7">
        <f t="shared" si="0"/>
        <v>385</v>
      </c>
      <c r="F10" s="7" t="s">
        <v>22</v>
      </c>
    </row>
    <row r="11" spans="1:6">
      <c r="A11" s="7">
        <v>6270</v>
      </c>
      <c r="B11" s="22" t="s">
        <v>286</v>
      </c>
      <c r="C11" s="7">
        <v>350</v>
      </c>
      <c r="D11" s="7">
        <v>1.1</v>
      </c>
      <c r="E11" s="7">
        <f t="shared" si="0"/>
        <v>385</v>
      </c>
      <c r="F11" s="7" t="s">
        <v>22</v>
      </c>
    </row>
    <row r="12" spans="1:6">
      <c r="A12" s="7">
        <v>6271</v>
      </c>
      <c r="B12" s="22" t="s">
        <v>287</v>
      </c>
      <c r="C12" s="7">
        <v>350</v>
      </c>
      <c r="D12" s="7">
        <v>1.1</v>
      </c>
      <c r="E12" s="7">
        <f t="shared" si="0"/>
        <v>385</v>
      </c>
      <c r="F12" s="7" t="s">
        <v>22</v>
      </c>
    </row>
    <row r="13" spans="1:6">
      <c r="A13" s="7">
        <v>6272</v>
      </c>
      <c r="B13" s="22" t="s">
        <v>288</v>
      </c>
      <c r="C13" s="7">
        <v>350</v>
      </c>
      <c r="D13" s="7">
        <v>1.1</v>
      </c>
      <c r="E13" s="7">
        <f t="shared" si="0"/>
        <v>385</v>
      </c>
      <c r="F13" s="7" t="s">
        <v>22</v>
      </c>
    </row>
    <row r="14" spans="1:6">
      <c r="A14" s="7">
        <v>6275</v>
      </c>
      <c r="B14" s="22" t="s">
        <v>289</v>
      </c>
      <c r="C14" s="7">
        <v>350</v>
      </c>
      <c r="D14" s="7">
        <v>1.1</v>
      </c>
      <c r="E14" s="7">
        <f t="shared" si="0"/>
        <v>385</v>
      </c>
      <c r="F14" s="7" t="s">
        <v>22</v>
      </c>
    </row>
    <row r="15" spans="1:6">
      <c r="A15" s="7">
        <v>6276</v>
      </c>
      <c r="B15" s="22" t="s">
        <v>290</v>
      </c>
      <c r="C15" s="7">
        <v>350</v>
      </c>
      <c r="D15" s="7">
        <v>1.1</v>
      </c>
      <c r="E15" s="7">
        <f t="shared" si="0"/>
        <v>385</v>
      </c>
      <c r="F15" s="7" t="s">
        <v>22</v>
      </c>
    </row>
    <row r="16" spans="1:6">
      <c r="A16" s="7">
        <v>6277</v>
      </c>
      <c r="B16" s="22" t="s">
        <v>291</v>
      </c>
      <c r="C16" s="7">
        <v>350</v>
      </c>
      <c r="D16" s="7">
        <v>1.1</v>
      </c>
      <c r="E16" s="7">
        <f t="shared" si="0"/>
        <v>385</v>
      </c>
      <c r="F16" s="7" t="s">
        <v>22</v>
      </c>
    </row>
    <row r="17" spans="1:6">
      <c r="A17" s="7">
        <v>6279</v>
      </c>
      <c r="B17" s="22" t="s">
        <v>292</v>
      </c>
      <c r="C17" s="7">
        <v>350</v>
      </c>
      <c r="D17" s="7">
        <v>1.1</v>
      </c>
      <c r="E17" s="7">
        <f t="shared" si="0"/>
        <v>385</v>
      </c>
      <c r="F17" s="7" t="s">
        <v>22</v>
      </c>
    </row>
    <row r="18" spans="1:6">
      <c r="A18" s="7">
        <v>6430</v>
      </c>
      <c r="B18" s="22" t="s">
        <v>293</v>
      </c>
      <c r="C18" s="7">
        <v>350</v>
      </c>
      <c r="D18" s="7">
        <v>1.1</v>
      </c>
      <c r="E18" s="7">
        <f t="shared" si="0"/>
        <v>385</v>
      </c>
      <c r="F18" s="7" t="s">
        <v>22</v>
      </c>
    </row>
    <row r="19" spans="1:6">
      <c r="A19" s="7">
        <v>6426</v>
      </c>
      <c r="B19" s="22" t="s">
        <v>294</v>
      </c>
      <c r="C19" s="7">
        <v>350</v>
      </c>
      <c r="D19" s="7">
        <v>1.1</v>
      </c>
      <c r="E19" s="7">
        <f t="shared" si="0"/>
        <v>385</v>
      </c>
      <c r="F19" s="7" t="s">
        <v>22</v>
      </c>
    </row>
    <row r="20" spans="1:6">
      <c r="A20" s="7">
        <v>6283</v>
      </c>
      <c r="B20" s="22" t="s">
        <v>295</v>
      </c>
      <c r="C20" s="7">
        <v>350</v>
      </c>
      <c r="D20" s="7">
        <v>1.1</v>
      </c>
      <c r="E20" s="7">
        <f t="shared" si="0"/>
        <v>385</v>
      </c>
      <c r="F20" s="7" t="s">
        <v>22</v>
      </c>
    </row>
    <row r="21" spans="1:6">
      <c r="A21" s="7">
        <v>6389</v>
      </c>
      <c r="B21" s="22" t="s">
        <v>296</v>
      </c>
      <c r="C21" s="7">
        <v>350</v>
      </c>
      <c r="D21" s="7">
        <v>1.1</v>
      </c>
      <c r="E21" s="7">
        <f t="shared" si="0"/>
        <v>385</v>
      </c>
      <c r="F21" s="7" t="s">
        <v>22</v>
      </c>
    </row>
    <row r="22" spans="3:6">
      <c r="C22" s="8" t="s">
        <v>18</v>
      </c>
      <c r="D22" s="8"/>
      <c r="E22" s="8">
        <f>SUM(E7:E7)</f>
        <v>385</v>
      </c>
      <c r="F22" s="21"/>
    </row>
    <row r="23" spans="6:6">
      <c r="F23" s="21"/>
    </row>
  </sheetData>
  <mergeCells count="7">
    <mergeCell ref="A3:C3"/>
    <mergeCell ref="D3:F3"/>
    <mergeCell ref="A4:C4"/>
    <mergeCell ref="D4:F4"/>
    <mergeCell ref="A5:F5"/>
    <mergeCell ref="C22:D22"/>
    <mergeCell ref="A1:F2"/>
  </mergeCells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1" sqref="D11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298</v>
      </c>
      <c r="B3" s="1"/>
      <c r="C3" s="1"/>
      <c r="D3" s="1" t="s">
        <v>272</v>
      </c>
      <c r="E3" s="1"/>
      <c r="F3" s="1"/>
    </row>
    <row r="4" spans="1:6">
      <c r="A4" s="1" t="s">
        <v>20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6417</v>
      </c>
      <c r="B7" s="22" t="s">
        <v>77</v>
      </c>
      <c r="C7" s="7">
        <v>100</v>
      </c>
      <c r="D7" s="7">
        <v>2875</v>
      </c>
      <c r="E7" s="7">
        <f t="shared" ref="E7:E21" si="0">C7*D7</f>
        <v>287500</v>
      </c>
      <c r="F7" s="7" t="s">
        <v>22</v>
      </c>
    </row>
    <row r="8" spans="1:6">
      <c r="A8" s="7">
        <v>5994</v>
      </c>
      <c r="B8" s="22" t="s">
        <v>228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6405</v>
      </c>
      <c r="B9" s="22" t="s">
        <v>83</v>
      </c>
      <c r="C9" s="7">
        <v>100</v>
      </c>
      <c r="D9" s="7">
        <v>2875</v>
      </c>
      <c r="E9" s="7">
        <f t="shared" si="0"/>
        <v>287500</v>
      </c>
      <c r="F9" s="7" t="s">
        <v>22</v>
      </c>
    </row>
    <row r="10" spans="1:6">
      <c r="A10" s="7">
        <v>6282</v>
      </c>
      <c r="B10" s="22" t="s">
        <v>223</v>
      </c>
      <c r="C10" s="7">
        <v>100</v>
      </c>
      <c r="D10" s="7">
        <v>2875</v>
      </c>
      <c r="E10" s="7">
        <f t="shared" si="0"/>
        <v>287500</v>
      </c>
      <c r="F10" s="7" t="s">
        <v>22</v>
      </c>
    </row>
    <row r="11" spans="1:6">
      <c r="A11" s="7">
        <v>6284</v>
      </c>
      <c r="B11" s="22" t="s">
        <v>84</v>
      </c>
      <c r="C11" s="7">
        <v>100</v>
      </c>
      <c r="D11" s="7">
        <v>2875</v>
      </c>
      <c r="E11" s="7">
        <f t="shared" si="0"/>
        <v>287500</v>
      </c>
      <c r="F11" s="7" t="s">
        <v>22</v>
      </c>
    </row>
    <row r="12" spans="1:6">
      <c r="A12" s="7">
        <v>6256</v>
      </c>
      <c r="B12" s="22" t="s">
        <v>87</v>
      </c>
      <c r="C12" s="7">
        <v>100</v>
      </c>
      <c r="D12" s="7">
        <v>2875</v>
      </c>
      <c r="E12" s="7">
        <f t="shared" si="0"/>
        <v>287500</v>
      </c>
      <c r="F12" s="7" t="s">
        <v>22</v>
      </c>
    </row>
    <row r="13" spans="1:6">
      <c r="A13" s="7">
        <v>6251</v>
      </c>
      <c r="B13" s="22" t="s">
        <v>88</v>
      </c>
      <c r="C13" s="7">
        <v>100</v>
      </c>
      <c r="D13" s="7">
        <v>2875</v>
      </c>
      <c r="E13" s="7">
        <f t="shared" si="0"/>
        <v>287500</v>
      </c>
      <c r="F13" s="7" t="s">
        <v>22</v>
      </c>
    </row>
    <row r="14" spans="1:6">
      <c r="A14" s="7">
        <v>6285</v>
      </c>
      <c r="B14" s="22" t="s">
        <v>85</v>
      </c>
      <c r="C14" s="7">
        <v>100</v>
      </c>
      <c r="D14" s="7">
        <v>2875</v>
      </c>
      <c r="E14" s="7">
        <f t="shared" si="0"/>
        <v>287500</v>
      </c>
      <c r="F14" s="7" t="s">
        <v>22</v>
      </c>
    </row>
    <row r="15" spans="1:6">
      <c r="A15" s="7">
        <v>6387</v>
      </c>
      <c r="B15" s="22" t="s">
        <v>145</v>
      </c>
      <c r="C15" s="7">
        <v>100</v>
      </c>
      <c r="D15" s="7">
        <v>2875</v>
      </c>
      <c r="E15" s="7">
        <f t="shared" si="0"/>
        <v>287500</v>
      </c>
      <c r="F15" s="7" t="s">
        <v>22</v>
      </c>
    </row>
    <row r="16" spans="1:6">
      <c r="A16" s="7">
        <v>6354</v>
      </c>
      <c r="B16" s="22" t="s">
        <v>150</v>
      </c>
      <c r="C16" s="7">
        <v>100</v>
      </c>
      <c r="D16" s="7">
        <v>2875</v>
      </c>
      <c r="E16" s="7">
        <f t="shared" si="0"/>
        <v>287500</v>
      </c>
      <c r="F16" s="7" t="s">
        <v>22</v>
      </c>
    </row>
    <row r="17" spans="1:6">
      <c r="A17" s="7">
        <v>6353</v>
      </c>
      <c r="B17" s="22" t="s">
        <v>155</v>
      </c>
      <c r="C17" s="7">
        <v>100</v>
      </c>
      <c r="D17" s="7">
        <v>2875</v>
      </c>
      <c r="E17" s="7">
        <f t="shared" si="0"/>
        <v>287500</v>
      </c>
      <c r="F17" s="7" t="s">
        <v>22</v>
      </c>
    </row>
    <row r="18" spans="1:6">
      <c r="A18" s="7">
        <v>6286</v>
      </c>
      <c r="B18" s="22" t="s">
        <v>86</v>
      </c>
      <c r="C18" s="7">
        <v>100</v>
      </c>
      <c r="D18" s="7">
        <v>2875</v>
      </c>
      <c r="E18" s="7">
        <f t="shared" si="0"/>
        <v>287500</v>
      </c>
      <c r="F18" s="7" t="s">
        <v>22</v>
      </c>
    </row>
    <row r="19" spans="1:6">
      <c r="A19" s="7">
        <v>6356</v>
      </c>
      <c r="B19" s="22" t="s">
        <v>153</v>
      </c>
      <c r="C19" s="7">
        <v>100</v>
      </c>
      <c r="D19" s="7">
        <v>2875</v>
      </c>
      <c r="E19" s="7">
        <f t="shared" si="0"/>
        <v>287500</v>
      </c>
      <c r="F19" s="7" t="s">
        <v>22</v>
      </c>
    </row>
    <row r="20" spans="1:6">
      <c r="A20" s="7">
        <v>6381</v>
      </c>
      <c r="B20" s="22" t="s">
        <v>224</v>
      </c>
      <c r="C20" s="7">
        <v>100</v>
      </c>
      <c r="D20" s="7">
        <v>2875</v>
      </c>
      <c r="E20" s="7">
        <f t="shared" si="0"/>
        <v>287500</v>
      </c>
      <c r="F20" s="7" t="s">
        <v>22</v>
      </c>
    </row>
    <row r="21" spans="1:6">
      <c r="A21" s="7">
        <v>6355</v>
      </c>
      <c r="B21" s="22" t="s">
        <v>143</v>
      </c>
      <c r="C21" s="7">
        <v>100</v>
      </c>
      <c r="D21" s="7">
        <v>2875</v>
      </c>
      <c r="E21" s="7">
        <f t="shared" si="0"/>
        <v>287500</v>
      </c>
      <c r="F21" s="7" t="s">
        <v>22</v>
      </c>
    </row>
    <row r="22" spans="3:6">
      <c r="C22" s="8" t="s">
        <v>18</v>
      </c>
      <c r="D22" s="8"/>
      <c r="E22" s="8">
        <f>SUM(E7:E21)</f>
        <v>4312500</v>
      </c>
      <c r="F22" s="21"/>
    </row>
    <row r="23" spans="6:6">
      <c r="F23" s="21"/>
    </row>
  </sheetData>
  <mergeCells count="7">
    <mergeCell ref="A3:C3"/>
    <mergeCell ref="D3:F3"/>
    <mergeCell ref="A4:C4"/>
    <mergeCell ref="D4:F4"/>
    <mergeCell ref="A5:F5"/>
    <mergeCell ref="C22:D22"/>
    <mergeCell ref="A1:F2"/>
  </mergeCells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3" sqref="D13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299</v>
      </c>
      <c r="B3" s="1"/>
      <c r="C3" s="1"/>
      <c r="D3" s="1" t="s">
        <v>272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6417</v>
      </c>
      <c r="B7" s="22" t="s">
        <v>77</v>
      </c>
      <c r="C7" s="7">
        <v>400</v>
      </c>
      <c r="D7" s="7">
        <v>2757</v>
      </c>
      <c r="E7" s="7">
        <f t="shared" ref="E7:E21" si="0">C7*D7</f>
        <v>1102800</v>
      </c>
      <c r="F7" s="7" t="s">
        <v>22</v>
      </c>
    </row>
    <row r="8" spans="1:6">
      <c r="A8" s="7">
        <v>5994</v>
      </c>
      <c r="B8" s="22" t="s">
        <v>228</v>
      </c>
      <c r="C8" s="7">
        <v>400</v>
      </c>
      <c r="D8" s="7">
        <v>2757</v>
      </c>
      <c r="E8" s="7">
        <f t="shared" si="0"/>
        <v>1102800</v>
      </c>
      <c r="F8" s="7" t="s">
        <v>22</v>
      </c>
    </row>
    <row r="9" spans="1:6">
      <c r="A9" s="7">
        <v>6405</v>
      </c>
      <c r="B9" s="22" t="s">
        <v>83</v>
      </c>
      <c r="C9" s="7">
        <v>400</v>
      </c>
      <c r="D9" s="7">
        <v>2757</v>
      </c>
      <c r="E9" s="7">
        <f t="shared" si="0"/>
        <v>1102800</v>
      </c>
      <c r="F9" s="7" t="s">
        <v>22</v>
      </c>
    </row>
    <row r="10" spans="1:6">
      <c r="A10" s="7">
        <v>6282</v>
      </c>
      <c r="B10" s="22" t="s">
        <v>223</v>
      </c>
      <c r="C10" s="7">
        <v>400</v>
      </c>
      <c r="D10" s="7">
        <v>2757</v>
      </c>
      <c r="E10" s="7">
        <f t="shared" si="0"/>
        <v>1102800</v>
      </c>
      <c r="F10" s="7" t="s">
        <v>22</v>
      </c>
    </row>
    <row r="11" spans="1:6">
      <c r="A11" s="7">
        <v>6284</v>
      </c>
      <c r="B11" s="22" t="s">
        <v>84</v>
      </c>
      <c r="C11" s="7">
        <v>400</v>
      </c>
      <c r="D11" s="7">
        <v>2757</v>
      </c>
      <c r="E11" s="7">
        <f t="shared" si="0"/>
        <v>1102800</v>
      </c>
      <c r="F11" s="7" t="s">
        <v>22</v>
      </c>
    </row>
    <row r="12" spans="1:6">
      <c r="A12" s="7">
        <v>6256</v>
      </c>
      <c r="B12" s="22" t="s">
        <v>87</v>
      </c>
      <c r="C12" s="7">
        <v>400</v>
      </c>
      <c r="D12" s="7">
        <v>2757</v>
      </c>
      <c r="E12" s="7">
        <f t="shared" si="0"/>
        <v>1102800</v>
      </c>
      <c r="F12" s="7" t="s">
        <v>22</v>
      </c>
    </row>
    <row r="13" spans="1:6">
      <c r="A13" s="7">
        <v>6251</v>
      </c>
      <c r="B13" s="22" t="s">
        <v>88</v>
      </c>
      <c r="C13" s="7">
        <v>400</v>
      </c>
      <c r="D13" s="7">
        <v>2757</v>
      </c>
      <c r="E13" s="7">
        <f t="shared" si="0"/>
        <v>1102800</v>
      </c>
      <c r="F13" s="7" t="s">
        <v>22</v>
      </c>
    </row>
    <row r="14" spans="1:6">
      <c r="A14" s="7">
        <v>6285</v>
      </c>
      <c r="B14" s="22" t="s">
        <v>85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1:6">
      <c r="A15" s="7">
        <v>6387</v>
      </c>
      <c r="B15" s="22" t="s">
        <v>145</v>
      </c>
      <c r="C15" s="7">
        <v>400</v>
      </c>
      <c r="D15" s="7">
        <v>2757</v>
      </c>
      <c r="E15" s="7">
        <f t="shared" si="0"/>
        <v>1102800</v>
      </c>
      <c r="F15" s="7" t="s">
        <v>22</v>
      </c>
    </row>
    <row r="16" spans="1:6">
      <c r="A16" s="7">
        <v>6354</v>
      </c>
      <c r="B16" s="22" t="s">
        <v>150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1:6">
      <c r="A17" s="7">
        <v>6353</v>
      </c>
      <c r="B17" s="22" t="s">
        <v>155</v>
      </c>
      <c r="C17" s="7">
        <v>400</v>
      </c>
      <c r="D17" s="7">
        <v>2757</v>
      </c>
      <c r="E17" s="7">
        <f t="shared" si="0"/>
        <v>1102800</v>
      </c>
      <c r="F17" s="7" t="s">
        <v>22</v>
      </c>
    </row>
    <row r="18" spans="1:6">
      <c r="A18" s="7">
        <v>6286</v>
      </c>
      <c r="B18" s="22" t="s">
        <v>86</v>
      </c>
      <c r="C18" s="7">
        <v>400</v>
      </c>
      <c r="D18" s="7">
        <v>2757</v>
      </c>
      <c r="E18" s="7">
        <f t="shared" si="0"/>
        <v>1102800</v>
      </c>
      <c r="F18" s="7" t="s">
        <v>22</v>
      </c>
    </row>
    <row r="19" spans="1:6">
      <c r="A19" s="7">
        <v>6356</v>
      </c>
      <c r="B19" s="22" t="s">
        <v>153</v>
      </c>
      <c r="C19" s="7">
        <v>400</v>
      </c>
      <c r="D19" s="7">
        <v>2757</v>
      </c>
      <c r="E19" s="7">
        <f t="shared" si="0"/>
        <v>1102800</v>
      </c>
      <c r="F19" s="7" t="s">
        <v>22</v>
      </c>
    </row>
    <row r="20" spans="1:6">
      <c r="A20" s="7">
        <v>6381</v>
      </c>
      <c r="B20" s="22" t="s">
        <v>224</v>
      </c>
      <c r="C20" s="7">
        <v>400</v>
      </c>
      <c r="D20" s="7">
        <v>2757</v>
      </c>
      <c r="E20" s="7">
        <f t="shared" si="0"/>
        <v>1102800</v>
      </c>
      <c r="F20" s="7" t="s">
        <v>22</v>
      </c>
    </row>
    <row r="21" spans="1:6">
      <c r="A21" s="7">
        <v>6355</v>
      </c>
      <c r="B21" s="22" t="s">
        <v>143</v>
      </c>
      <c r="C21" s="7">
        <v>400</v>
      </c>
      <c r="D21" s="7">
        <v>2757</v>
      </c>
      <c r="E21" s="7">
        <f t="shared" si="0"/>
        <v>1102800</v>
      </c>
      <c r="F21" s="7" t="s">
        <v>22</v>
      </c>
    </row>
    <row r="22" spans="3:6">
      <c r="C22" s="8" t="s">
        <v>18</v>
      </c>
      <c r="D22" s="8"/>
      <c r="E22" s="8">
        <f>SUM(E7:E21)</f>
        <v>16542000</v>
      </c>
      <c r="F22" s="21"/>
    </row>
    <row r="23" spans="6:6">
      <c r="F23" s="21"/>
    </row>
  </sheetData>
  <mergeCells count="7">
    <mergeCell ref="A3:C3"/>
    <mergeCell ref="D3:F3"/>
    <mergeCell ref="A4:C4"/>
    <mergeCell ref="D4:F4"/>
    <mergeCell ref="A5:F5"/>
    <mergeCell ref="C22:D22"/>
    <mergeCell ref="A1:F2"/>
  </mergeCell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8" sqref="C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300</v>
      </c>
      <c r="B3" s="1"/>
      <c r="C3" s="1"/>
      <c r="D3" s="1" t="s">
        <v>272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6443</v>
      </c>
      <c r="B7" s="22" t="s">
        <v>80</v>
      </c>
      <c r="C7" s="7">
        <v>100</v>
      </c>
      <c r="D7" s="7">
        <v>2710</v>
      </c>
      <c r="E7" s="7">
        <f t="shared" ref="E7:E10" si="0">C7*D7</f>
        <v>271000</v>
      </c>
      <c r="F7" s="7" t="s">
        <v>78</v>
      </c>
    </row>
    <row r="8" spans="1:6">
      <c r="A8" s="7">
        <v>6418</v>
      </c>
      <c r="B8" s="22" t="s">
        <v>79</v>
      </c>
      <c r="C8" s="7">
        <v>100</v>
      </c>
      <c r="D8" s="7">
        <v>2710</v>
      </c>
      <c r="E8" s="7">
        <f t="shared" si="0"/>
        <v>271000</v>
      </c>
      <c r="F8" s="7" t="s">
        <v>78</v>
      </c>
    </row>
    <row r="9" spans="1:6">
      <c r="A9" s="7">
        <v>6427</v>
      </c>
      <c r="B9" s="22" t="s">
        <v>81</v>
      </c>
      <c r="C9" s="7">
        <v>100</v>
      </c>
      <c r="D9" s="7">
        <v>2710</v>
      </c>
      <c r="E9" s="7">
        <f t="shared" si="0"/>
        <v>271000</v>
      </c>
      <c r="F9" s="7" t="s">
        <v>78</v>
      </c>
    </row>
    <row r="10" spans="1:6">
      <c r="A10" s="7">
        <v>6435</v>
      </c>
      <c r="B10" s="22" t="s">
        <v>82</v>
      </c>
      <c r="C10" s="7">
        <v>100</v>
      </c>
      <c r="D10" s="7">
        <v>2710</v>
      </c>
      <c r="E10" s="7">
        <f t="shared" si="0"/>
        <v>271000</v>
      </c>
      <c r="F10" s="7" t="s">
        <v>78</v>
      </c>
    </row>
    <row r="11" spans="3:6">
      <c r="C11" s="8" t="s">
        <v>18</v>
      </c>
      <c r="D11" s="8"/>
      <c r="E11" s="8">
        <f>SUM(E7:E10)</f>
        <v>1084000</v>
      </c>
      <c r="F11" s="21"/>
    </row>
    <row r="12" spans="6:6">
      <c r="F12" s="21"/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G15" sqref="G15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301</v>
      </c>
      <c r="B3" s="1"/>
      <c r="C3" s="1"/>
      <c r="D3" s="1" t="s">
        <v>272</v>
      </c>
      <c r="E3" s="1"/>
      <c r="F3" s="1"/>
    </row>
    <row r="4" spans="1:6">
      <c r="A4" s="1" t="s">
        <v>302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6443</v>
      </c>
      <c r="B7" s="22" t="s">
        <v>80</v>
      </c>
      <c r="C7" s="7">
        <v>70</v>
      </c>
      <c r="D7" s="7">
        <v>2730</v>
      </c>
      <c r="E7" s="7">
        <f t="shared" ref="E7:E10" si="0">C7*D7</f>
        <v>191100</v>
      </c>
      <c r="F7" s="7" t="s">
        <v>78</v>
      </c>
    </row>
    <row r="8" spans="1:6">
      <c r="A8" s="7">
        <v>6418</v>
      </c>
      <c r="B8" s="22" t="s">
        <v>79</v>
      </c>
      <c r="C8" s="7">
        <v>70</v>
      </c>
      <c r="D8" s="7">
        <v>2730</v>
      </c>
      <c r="E8" s="7">
        <f t="shared" si="0"/>
        <v>191100</v>
      </c>
      <c r="F8" s="7" t="s">
        <v>78</v>
      </c>
    </row>
    <row r="9" spans="1:6">
      <c r="A9" s="7">
        <v>6427</v>
      </c>
      <c r="B9" s="22" t="s">
        <v>81</v>
      </c>
      <c r="C9" s="7">
        <v>70</v>
      </c>
      <c r="D9" s="7">
        <v>2730</v>
      </c>
      <c r="E9" s="7">
        <f t="shared" si="0"/>
        <v>191100</v>
      </c>
      <c r="F9" s="7" t="s">
        <v>78</v>
      </c>
    </row>
    <row r="10" spans="1:6">
      <c r="A10" s="7">
        <v>6435</v>
      </c>
      <c r="B10" s="22" t="s">
        <v>82</v>
      </c>
      <c r="C10" s="7">
        <v>70</v>
      </c>
      <c r="D10" s="7">
        <v>2730</v>
      </c>
      <c r="E10" s="7">
        <f t="shared" si="0"/>
        <v>191100</v>
      </c>
      <c r="F10" s="7" t="s">
        <v>78</v>
      </c>
    </row>
    <row r="11" spans="3:6">
      <c r="C11" s="8" t="s">
        <v>18</v>
      </c>
      <c r="D11" s="8"/>
      <c r="E11" s="8">
        <f>SUM(E7:E10)</f>
        <v>764400</v>
      </c>
      <c r="F11" s="21"/>
    </row>
    <row r="12" spans="6:6">
      <c r="F12" s="21"/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5" sqref="A5:F5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303</v>
      </c>
      <c r="B3" s="1"/>
      <c r="C3" s="1"/>
      <c r="D3" s="1" t="s">
        <v>272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6358</v>
      </c>
      <c r="B7" s="22" t="s">
        <v>157</v>
      </c>
      <c r="C7" s="7">
        <v>60</v>
      </c>
      <c r="D7" s="7">
        <v>1.1</v>
      </c>
      <c r="E7" s="7">
        <f t="shared" ref="E7:E9" si="0">C7*D7</f>
        <v>66</v>
      </c>
      <c r="F7" s="7" t="s">
        <v>22</v>
      </c>
    </row>
    <row r="8" spans="1:6">
      <c r="A8" s="7">
        <v>6359</v>
      </c>
      <c r="B8" s="22" t="s">
        <v>152</v>
      </c>
      <c r="C8" s="7">
        <v>60</v>
      </c>
      <c r="D8" s="7">
        <v>1.1</v>
      </c>
      <c r="E8" s="7">
        <f t="shared" si="0"/>
        <v>66</v>
      </c>
      <c r="F8" s="7" t="s">
        <v>22</v>
      </c>
    </row>
    <row r="9" spans="1:6">
      <c r="A9" s="7">
        <v>6389</v>
      </c>
      <c r="B9" s="22" t="s">
        <v>296</v>
      </c>
      <c r="C9" s="7">
        <v>40</v>
      </c>
      <c r="D9" s="7">
        <v>1.1</v>
      </c>
      <c r="E9" s="7">
        <f t="shared" si="0"/>
        <v>44</v>
      </c>
      <c r="F9" s="7" t="s">
        <v>22</v>
      </c>
    </row>
    <row r="10" spans="3:6">
      <c r="C10" s="8" t="s">
        <v>18</v>
      </c>
      <c r="D10" s="8"/>
      <c r="E10" s="8">
        <f>SUM(E7:E9)</f>
        <v>176</v>
      </c>
      <c r="F10" s="21"/>
    </row>
    <row r="11" spans="6:6">
      <c r="F11" s="21"/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12" sqref="E12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304</v>
      </c>
      <c r="B3" s="1"/>
      <c r="C3" s="1"/>
      <c r="D3" s="1" t="s">
        <v>272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 t="s">
        <v>57</v>
      </c>
      <c r="B7" s="22" t="s">
        <v>305</v>
      </c>
      <c r="C7" s="7">
        <v>175</v>
      </c>
      <c r="D7" s="7">
        <v>2710</v>
      </c>
      <c r="E7" s="7">
        <f t="shared" ref="E7" si="0">C7*D7</f>
        <v>474250</v>
      </c>
      <c r="F7" s="7" t="s">
        <v>306</v>
      </c>
    </row>
    <row r="8" spans="3:6">
      <c r="C8" s="8" t="s">
        <v>18</v>
      </c>
      <c r="D8" s="8"/>
      <c r="E8" s="8">
        <f>SUM(E7:E7)</f>
        <v>474250</v>
      </c>
      <c r="F8" s="21"/>
    </row>
    <row r="9" spans="6:6">
      <c r="F9" s="21"/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2" sqref="F12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307</v>
      </c>
      <c r="B3" s="1"/>
      <c r="C3" s="1"/>
      <c r="D3" s="1" t="s">
        <v>272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6468</v>
      </c>
      <c r="B7" s="22" t="s">
        <v>308</v>
      </c>
      <c r="C7" s="7">
        <v>450</v>
      </c>
      <c r="D7" s="7">
        <v>2757</v>
      </c>
      <c r="E7" s="7">
        <f t="shared" ref="E7" si="0">C7*D7</f>
        <v>1240650</v>
      </c>
      <c r="F7" s="7" t="s">
        <v>306</v>
      </c>
    </row>
    <row r="8" spans="3:6">
      <c r="C8" s="8" t="s">
        <v>18</v>
      </c>
      <c r="D8" s="8"/>
      <c r="E8" s="8">
        <f>SUM(E7:E7)</f>
        <v>1240650</v>
      </c>
      <c r="F8" s="21"/>
    </row>
    <row r="9" spans="6:6">
      <c r="F9" s="21"/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C8" sqref="C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309</v>
      </c>
      <c r="B3" s="1"/>
      <c r="C3" s="1"/>
      <c r="D3" s="1" t="s">
        <v>272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6355</v>
      </c>
      <c r="B7" s="22" t="s">
        <v>143</v>
      </c>
      <c r="C7" s="7">
        <v>350</v>
      </c>
      <c r="D7" s="7">
        <v>2987</v>
      </c>
      <c r="E7" s="7">
        <f t="shared" ref="E7:E11" si="0">C7*D7</f>
        <v>1045450</v>
      </c>
      <c r="F7" s="7" t="s">
        <v>22</v>
      </c>
    </row>
    <row r="8" spans="1:6">
      <c r="A8" s="7">
        <v>6353</v>
      </c>
      <c r="B8" s="22" t="s">
        <v>155</v>
      </c>
      <c r="C8" s="7">
        <v>350</v>
      </c>
      <c r="D8" s="7">
        <v>2987</v>
      </c>
      <c r="E8" s="7">
        <f t="shared" si="0"/>
        <v>1045450</v>
      </c>
      <c r="F8" s="7" t="s">
        <v>22</v>
      </c>
    </row>
    <row r="9" spans="1:6">
      <c r="A9" s="7">
        <v>6357</v>
      </c>
      <c r="B9" s="22" t="s">
        <v>145</v>
      </c>
      <c r="C9" s="7">
        <v>350</v>
      </c>
      <c r="D9" s="7">
        <v>2987</v>
      </c>
      <c r="E9" s="7">
        <f t="shared" si="0"/>
        <v>1045450</v>
      </c>
      <c r="F9" s="7" t="s">
        <v>22</v>
      </c>
    </row>
    <row r="10" spans="1:6">
      <c r="A10" s="7">
        <v>6354</v>
      </c>
      <c r="B10" s="22" t="s">
        <v>150</v>
      </c>
      <c r="C10" s="7">
        <v>350</v>
      </c>
      <c r="D10" s="7">
        <v>2987</v>
      </c>
      <c r="E10" s="7">
        <f t="shared" si="0"/>
        <v>1045450</v>
      </c>
      <c r="F10" s="7" t="s">
        <v>22</v>
      </c>
    </row>
    <row r="11" spans="1:6">
      <c r="A11" s="7">
        <v>6356</v>
      </c>
      <c r="B11" s="22" t="s">
        <v>153</v>
      </c>
      <c r="C11" s="7">
        <v>350</v>
      </c>
      <c r="D11" s="7">
        <v>2987</v>
      </c>
      <c r="E11" s="7">
        <f t="shared" si="0"/>
        <v>1045450</v>
      </c>
      <c r="F11" s="7" t="s">
        <v>22</v>
      </c>
    </row>
    <row r="12" spans="3:6">
      <c r="C12" s="8" t="s">
        <v>18</v>
      </c>
      <c r="D12" s="8"/>
      <c r="E12" s="8">
        <f>SUM(E7:E11)</f>
        <v>5227250</v>
      </c>
      <c r="F12" s="21"/>
    </row>
    <row r="13" spans="6:6">
      <c r="F13" s="21"/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14" sqref="D14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310</v>
      </c>
      <c r="B3" s="1"/>
      <c r="C3" s="1"/>
      <c r="D3" s="1" t="s">
        <v>311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6454</v>
      </c>
      <c r="B7" s="22" t="s">
        <v>312</v>
      </c>
      <c r="C7" s="7">
        <v>450</v>
      </c>
      <c r="D7" s="7">
        <v>2757</v>
      </c>
      <c r="E7" s="7">
        <f t="shared" ref="E7:E19" si="0">C7*D7</f>
        <v>1240650</v>
      </c>
      <c r="F7" s="7" t="s">
        <v>189</v>
      </c>
    </row>
    <row r="8" spans="1:6">
      <c r="A8" s="7">
        <v>6231</v>
      </c>
      <c r="B8" s="22" t="s">
        <v>313</v>
      </c>
      <c r="C8" s="7">
        <v>450</v>
      </c>
      <c r="D8" s="7">
        <v>2757</v>
      </c>
      <c r="E8" s="7">
        <f t="shared" si="0"/>
        <v>1240650</v>
      </c>
      <c r="F8" s="7" t="s">
        <v>189</v>
      </c>
    </row>
    <row r="9" spans="1:6">
      <c r="A9" s="7">
        <v>6457</v>
      </c>
      <c r="B9" s="22" t="s">
        <v>314</v>
      </c>
      <c r="C9" s="7">
        <v>450</v>
      </c>
      <c r="D9" s="7">
        <v>2757</v>
      </c>
      <c r="E9" s="7">
        <f t="shared" si="0"/>
        <v>1240650</v>
      </c>
      <c r="F9" s="7" t="s">
        <v>189</v>
      </c>
    </row>
    <row r="10" spans="1:6">
      <c r="A10" s="7">
        <v>6474</v>
      </c>
      <c r="B10" s="22" t="s">
        <v>315</v>
      </c>
      <c r="C10" s="7">
        <v>450</v>
      </c>
      <c r="D10" s="7">
        <v>2757</v>
      </c>
      <c r="E10" s="7">
        <f t="shared" si="0"/>
        <v>1240650</v>
      </c>
      <c r="F10" s="7" t="s">
        <v>13</v>
      </c>
    </row>
    <row r="11" spans="1:6">
      <c r="A11" s="7">
        <v>6226</v>
      </c>
      <c r="B11" s="22" t="s">
        <v>316</v>
      </c>
      <c r="C11" s="7">
        <v>450</v>
      </c>
      <c r="D11" s="7">
        <v>2757</v>
      </c>
      <c r="E11" s="7">
        <f t="shared" si="0"/>
        <v>1240650</v>
      </c>
      <c r="F11" s="7" t="s">
        <v>189</v>
      </c>
    </row>
    <row r="12" spans="1:6">
      <c r="A12" s="7">
        <v>6470</v>
      </c>
      <c r="B12" s="22" t="s">
        <v>317</v>
      </c>
      <c r="C12" s="7">
        <v>450</v>
      </c>
      <c r="D12" s="7">
        <v>2757</v>
      </c>
      <c r="E12" s="7">
        <f t="shared" si="0"/>
        <v>1240650</v>
      </c>
      <c r="F12" s="7" t="s">
        <v>13</v>
      </c>
    </row>
    <row r="13" spans="1:6">
      <c r="A13" s="7">
        <v>6496</v>
      </c>
      <c r="B13" s="22" t="s">
        <v>318</v>
      </c>
      <c r="C13" s="7">
        <v>450</v>
      </c>
      <c r="D13" s="7">
        <v>2757</v>
      </c>
      <c r="E13" s="7">
        <f t="shared" si="0"/>
        <v>1240650</v>
      </c>
      <c r="F13" s="7" t="s">
        <v>212</v>
      </c>
    </row>
    <row r="14" spans="1:6">
      <c r="A14" s="7">
        <v>6466</v>
      </c>
      <c r="B14" s="22" t="s">
        <v>319</v>
      </c>
      <c r="C14" s="7">
        <v>450</v>
      </c>
      <c r="D14" s="7">
        <v>2757</v>
      </c>
      <c r="E14" s="7">
        <f t="shared" si="0"/>
        <v>1240650</v>
      </c>
      <c r="F14" s="7" t="s">
        <v>13</v>
      </c>
    </row>
    <row r="15" spans="1:6">
      <c r="A15" s="7">
        <v>6185</v>
      </c>
      <c r="B15" s="22" t="s">
        <v>320</v>
      </c>
      <c r="C15" s="7">
        <v>450</v>
      </c>
      <c r="D15" s="7">
        <v>2757</v>
      </c>
      <c r="E15" s="7">
        <f t="shared" si="0"/>
        <v>1240650</v>
      </c>
      <c r="F15" s="7" t="s">
        <v>17</v>
      </c>
    </row>
    <row r="16" spans="1:6">
      <c r="A16" s="7">
        <v>6462</v>
      </c>
      <c r="B16" s="22" t="s">
        <v>321</v>
      </c>
      <c r="C16" s="7">
        <v>450</v>
      </c>
      <c r="D16" s="7">
        <v>2757</v>
      </c>
      <c r="E16" s="7">
        <f t="shared" si="0"/>
        <v>1240650</v>
      </c>
      <c r="F16" s="7" t="s">
        <v>13</v>
      </c>
    </row>
    <row r="17" spans="1:6">
      <c r="A17" s="7">
        <v>6465</v>
      </c>
      <c r="B17" s="22" t="s">
        <v>322</v>
      </c>
      <c r="C17" s="7">
        <v>450</v>
      </c>
      <c r="D17" s="7">
        <v>2757</v>
      </c>
      <c r="E17" s="7">
        <f t="shared" si="0"/>
        <v>1240650</v>
      </c>
      <c r="F17" s="7" t="s">
        <v>13</v>
      </c>
    </row>
    <row r="18" spans="1:6">
      <c r="A18" s="7">
        <v>6493</v>
      </c>
      <c r="B18" s="22" t="s">
        <v>323</v>
      </c>
      <c r="C18" s="7">
        <v>450</v>
      </c>
      <c r="D18" s="7">
        <v>2757</v>
      </c>
      <c r="E18" s="7">
        <f t="shared" si="0"/>
        <v>1240650</v>
      </c>
      <c r="F18" s="7" t="s">
        <v>212</v>
      </c>
    </row>
    <row r="19" spans="1:6">
      <c r="A19" s="7">
        <v>6461</v>
      </c>
      <c r="B19" s="22" t="s">
        <v>324</v>
      </c>
      <c r="C19" s="7">
        <v>450</v>
      </c>
      <c r="D19" s="7">
        <v>2757</v>
      </c>
      <c r="E19" s="7">
        <f t="shared" si="0"/>
        <v>1240650</v>
      </c>
      <c r="F19" s="7" t="s">
        <v>13</v>
      </c>
    </row>
    <row r="20" spans="3:6">
      <c r="C20" s="8" t="s">
        <v>18</v>
      </c>
      <c r="D20" s="8"/>
      <c r="E20" s="8">
        <f>SUM(E7:E19)</f>
        <v>16128450</v>
      </c>
      <c r="F20" s="21"/>
    </row>
    <row r="21" spans="6:6">
      <c r="F21" s="21"/>
    </row>
  </sheetData>
  <mergeCells count="7">
    <mergeCell ref="A3:C3"/>
    <mergeCell ref="D3:F3"/>
    <mergeCell ref="A4:C4"/>
    <mergeCell ref="D4:F4"/>
    <mergeCell ref="A5:F5"/>
    <mergeCell ref="C20:D20"/>
    <mergeCell ref="A1:F2"/>
  </mergeCells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3" sqref="F13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325</v>
      </c>
      <c r="B3" s="1"/>
      <c r="C3" s="1"/>
      <c r="D3" s="1" t="s">
        <v>311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6283</v>
      </c>
      <c r="B7" s="22" t="s">
        <v>295</v>
      </c>
      <c r="C7" s="7">
        <v>50</v>
      </c>
      <c r="D7" s="7">
        <v>1.1</v>
      </c>
      <c r="E7" s="7">
        <f t="shared" ref="E7" si="0">C7*D7</f>
        <v>55</v>
      </c>
      <c r="F7" s="7" t="s">
        <v>22</v>
      </c>
    </row>
    <row r="8" spans="3:6">
      <c r="C8" s="8" t="s">
        <v>18</v>
      </c>
      <c r="D8" s="8"/>
      <c r="E8" s="8">
        <f>SUM(E7:E7)</f>
        <v>55</v>
      </c>
      <c r="F8" s="21"/>
    </row>
    <row r="9" spans="6:6">
      <c r="F9" s="21"/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C9" sqref="C9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326</v>
      </c>
      <c r="B3" s="1"/>
      <c r="C3" s="1"/>
      <c r="D3" s="1" t="s">
        <v>311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29">
        <v>6183</v>
      </c>
      <c r="B7" s="30" t="s">
        <v>214</v>
      </c>
      <c r="C7" s="29">
        <v>560</v>
      </c>
      <c r="D7" s="29">
        <v>1.1</v>
      </c>
      <c r="E7" s="29">
        <f t="shared" ref="E7:E15" si="0">C7*D7</f>
        <v>616</v>
      </c>
      <c r="F7" s="29" t="s">
        <v>266</v>
      </c>
    </row>
    <row r="8" spans="1:6">
      <c r="A8" s="7">
        <v>6189</v>
      </c>
      <c r="B8" s="22" t="s">
        <v>253</v>
      </c>
      <c r="C8" s="7">
        <v>560</v>
      </c>
      <c r="D8" s="7">
        <v>1.1</v>
      </c>
      <c r="E8" s="7">
        <f t="shared" si="0"/>
        <v>616</v>
      </c>
      <c r="F8" s="7" t="s">
        <v>266</v>
      </c>
    </row>
    <row r="9" spans="1:6">
      <c r="A9" s="7">
        <v>6217</v>
      </c>
      <c r="B9" s="22" t="s">
        <v>215</v>
      </c>
      <c r="C9" s="7">
        <v>400</v>
      </c>
      <c r="D9" s="7">
        <v>1.1</v>
      </c>
      <c r="E9" s="7">
        <f t="shared" si="0"/>
        <v>440</v>
      </c>
      <c r="F9" s="7" t="s">
        <v>189</v>
      </c>
    </row>
    <row r="10" spans="1:6">
      <c r="A10" s="7">
        <v>6195</v>
      </c>
      <c r="B10" s="22" t="s">
        <v>192</v>
      </c>
      <c r="C10" s="7">
        <v>600</v>
      </c>
      <c r="D10" s="7">
        <v>1.1</v>
      </c>
      <c r="E10" s="7">
        <f t="shared" si="0"/>
        <v>660</v>
      </c>
      <c r="F10" s="7" t="s">
        <v>13</v>
      </c>
    </row>
    <row r="11" spans="1:6">
      <c r="A11" s="7">
        <v>6311</v>
      </c>
      <c r="B11" s="22" t="s">
        <v>251</v>
      </c>
      <c r="C11" s="7">
        <v>600</v>
      </c>
      <c r="D11" s="7">
        <v>1.1</v>
      </c>
      <c r="E11" s="7">
        <f t="shared" si="0"/>
        <v>660</v>
      </c>
      <c r="F11" s="7" t="s">
        <v>13</v>
      </c>
    </row>
    <row r="12" spans="1:6">
      <c r="A12" s="7">
        <v>6345</v>
      </c>
      <c r="B12" s="22" t="s">
        <v>171</v>
      </c>
      <c r="C12" s="7">
        <v>560</v>
      </c>
      <c r="D12" s="7">
        <v>1.1</v>
      </c>
      <c r="E12" s="7">
        <f t="shared" si="0"/>
        <v>616</v>
      </c>
      <c r="F12" s="7" t="s">
        <v>13</v>
      </c>
    </row>
    <row r="13" spans="1:6">
      <c r="A13" s="7">
        <v>6491</v>
      </c>
      <c r="B13" s="22" t="s">
        <v>233</v>
      </c>
      <c r="C13" s="7">
        <v>480</v>
      </c>
      <c r="D13" s="7">
        <v>1.1</v>
      </c>
      <c r="E13" s="7">
        <f t="shared" si="0"/>
        <v>528</v>
      </c>
      <c r="F13" s="7" t="s">
        <v>212</v>
      </c>
    </row>
    <row r="14" spans="1:6">
      <c r="A14" s="7">
        <v>6497</v>
      </c>
      <c r="B14" s="22" t="s">
        <v>234</v>
      </c>
      <c r="C14" s="7">
        <v>460</v>
      </c>
      <c r="D14" s="7">
        <v>1.1</v>
      </c>
      <c r="E14" s="7">
        <f t="shared" si="0"/>
        <v>506</v>
      </c>
      <c r="F14" s="7" t="s">
        <v>212</v>
      </c>
    </row>
    <row r="15" spans="1:6">
      <c r="A15" s="7">
        <v>6495</v>
      </c>
      <c r="B15" s="22" t="s">
        <v>235</v>
      </c>
      <c r="C15" s="7">
        <v>460</v>
      </c>
      <c r="D15" s="7">
        <v>1.1</v>
      </c>
      <c r="E15" s="7">
        <f t="shared" si="0"/>
        <v>506</v>
      </c>
      <c r="F15" s="7" t="s">
        <v>212</v>
      </c>
    </row>
    <row r="16" spans="3:6">
      <c r="C16" s="8" t="s">
        <v>18</v>
      </c>
      <c r="D16" s="8"/>
      <c r="E16" s="8">
        <f>SUM(E7:E15)</f>
        <v>5148</v>
      </c>
      <c r="F16" s="21"/>
    </row>
    <row r="17" spans="6:6">
      <c r="F17" s="21"/>
    </row>
  </sheetData>
  <mergeCells count="7">
    <mergeCell ref="A3:C3"/>
    <mergeCell ref="D3:F3"/>
    <mergeCell ref="A4:C4"/>
    <mergeCell ref="D4:F4"/>
    <mergeCell ref="A5:F5"/>
    <mergeCell ref="C16:D16"/>
    <mergeCell ref="A1:F2"/>
  </mergeCell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0" sqref="D1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327</v>
      </c>
      <c r="B3" s="1"/>
      <c r="C3" s="1"/>
      <c r="D3" s="1" t="s">
        <v>311</v>
      </c>
      <c r="E3" s="1"/>
      <c r="F3" s="1"/>
    </row>
    <row r="4" spans="1:6">
      <c r="A4" s="1" t="s">
        <v>56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6297</v>
      </c>
      <c r="B7" s="22" t="s">
        <v>99</v>
      </c>
      <c r="C7" s="7">
        <v>50</v>
      </c>
      <c r="D7" s="7">
        <v>2710</v>
      </c>
      <c r="E7" s="7">
        <f t="shared" ref="E7" si="0">C7*D7</f>
        <v>135500</v>
      </c>
      <c r="F7" s="7" t="s">
        <v>22</v>
      </c>
    </row>
    <row r="8" spans="3:6">
      <c r="C8" s="8" t="s">
        <v>18</v>
      </c>
      <c r="D8" s="8"/>
      <c r="E8" s="8">
        <f>SUM(E7:E7)</f>
        <v>135500</v>
      </c>
      <c r="F8" s="21"/>
    </row>
    <row r="9" spans="6:6">
      <c r="F9" s="21"/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1" sqref="D11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328</v>
      </c>
      <c r="B3" s="1"/>
      <c r="C3" s="1"/>
      <c r="D3" s="1" t="s">
        <v>311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6273</v>
      </c>
      <c r="B7" s="22" t="s">
        <v>329</v>
      </c>
      <c r="C7" s="7">
        <v>50</v>
      </c>
      <c r="D7" s="7">
        <v>1.1</v>
      </c>
      <c r="E7" s="7">
        <f t="shared" ref="E7:E14" si="0">C7*D7</f>
        <v>55</v>
      </c>
      <c r="F7" s="7" t="s">
        <v>22</v>
      </c>
    </row>
    <row r="8" spans="1:6">
      <c r="A8" s="7">
        <v>6274</v>
      </c>
      <c r="B8" s="22" t="s">
        <v>330</v>
      </c>
      <c r="C8" s="7">
        <v>50</v>
      </c>
      <c r="D8" s="7">
        <v>1.1</v>
      </c>
      <c r="E8" s="7">
        <f t="shared" si="0"/>
        <v>55</v>
      </c>
      <c r="F8" s="7" t="s">
        <v>22</v>
      </c>
    </row>
    <row r="9" spans="1:6">
      <c r="A9" s="7">
        <v>6412</v>
      </c>
      <c r="B9" s="22" t="s">
        <v>331</v>
      </c>
      <c r="C9" s="7">
        <v>50</v>
      </c>
      <c r="D9" s="7">
        <v>1.1</v>
      </c>
      <c r="E9" s="7">
        <f t="shared" si="0"/>
        <v>55</v>
      </c>
      <c r="F9" s="7" t="s">
        <v>22</v>
      </c>
    </row>
    <row r="10" spans="1:6">
      <c r="A10" s="7">
        <v>6517</v>
      </c>
      <c r="B10" s="22" t="s">
        <v>332</v>
      </c>
      <c r="C10" s="7">
        <v>50</v>
      </c>
      <c r="D10" s="7">
        <v>1.1</v>
      </c>
      <c r="E10" s="7">
        <f t="shared" si="0"/>
        <v>55</v>
      </c>
      <c r="F10" s="7" t="s">
        <v>22</v>
      </c>
    </row>
    <row r="11" spans="1:6">
      <c r="A11" s="7">
        <v>6515</v>
      </c>
      <c r="B11" s="22" t="s">
        <v>333</v>
      </c>
      <c r="C11" s="7">
        <v>50</v>
      </c>
      <c r="D11" s="7">
        <v>1.1</v>
      </c>
      <c r="E11" s="7">
        <f t="shared" si="0"/>
        <v>55</v>
      </c>
      <c r="F11" s="7" t="s">
        <v>22</v>
      </c>
    </row>
    <row r="12" spans="1:6">
      <c r="A12" s="7">
        <v>6512</v>
      </c>
      <c r="B12" s="22" t="s">
        <v>334</v>
      </c>
      <c r="C12" s="7">
        <v>50</v>
      </c>
      <c r="D12" s="7">
        <v>1.1</v>
      </c>
      <c r="E12" s="7">
        <f t="shared" si="0"/>
        <v>55</v>
      </c>
      <c r="F12" s="7" t="s">
        <v>22</v>
      </c>
    </row>
    <row r="13" spans="1:6">
      <c r="A13" s="7">
        <v>6518</v>
      </c>
      <c r="B13" s="22" t="s">
        <v>335</v>
      </c>
      <c r="C13" s="7">
        <v>50</v>
      </c>
      <c r="D13" s="7">
        <v>1.1</v>
      </c>
      <c r="E13" s="7">
        <f t="shared" si="0"/>
        <v>55</v>
      </c>
      <c r="F13" s="7" t="s">
        <v>22</v>
      </c>
    </row>
    <row r="14" spans="1:6">
      <c r="A14" s="7">
        <v>6516</v>
      </c>
      <c r="B14" s="22" t="s">
        <v>336</v>
      </c>
      <c r="C14" s="7">
        <v>50</v>
      </c>
      <c r="D14" s="7">
        <v>1.1</v>
      </c>
      <c r="E14" s="7">
        <f t="shared" si="0"/>
        <v>55</v>
      </c>
      <c r="F14" s="7" t="s">
        <v>22</v>
      </c>
    </row>
    <row r="15" spans="3:6">
      <c r="C15" s="8" t="s">
        <v>18</v>
      </c>
      <c r="D15" s="8"/>
      <c r="E15" s="8">
        <f>SUM(E7:E14)</f>
        <v>440</v>
      </c>
      <c r="F15" s="21"/>
    </row>
    <row r="16" spans="6:6">
      <c r="F16" s="21"/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1" sqref="D11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337</v>
      </c>
      <c r="B3" s="1"/>
      <c r="C3" s="1"/>
      <c r="D3" s="1" t="s">
        <v>311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6273</v>
      </c>
      <c r="B7" s="22" t="s">
        <v>329</v>
      </c>
      <c r="C7" s="7">
        <v>350</v>
      </c>
      <c r="D7" s="7">
        <v>1.1</v>
      </c>
      <c r="E7" s="7">
        <f t="shared" ref="E7:E14" si="0">C7*D7</f>
        <v>385</v>
      </c>
      <c r="F7" s="7" t="s">
        <v>22</v>
      </c>
    </row>
    <row r="8" spans="1:6">
      <c r="A8" s="7">
        <v>6274</v>
      </c>
      <c r="B8" s="22" t="s">
        <v>330</v>
      </c>
      <c r="C8" s="7">
        <v>350</v>
      </c>
      <c r="D8" s="7">
        <v>1.1</v>
      </c>
      <c r="E8" s="7">
        <f t="shared" si="0"/>
        <v>385</v>
      </c>
      <c r="F8" s="7" t="s">
        <v>22</v>
      </c>
    </row>
    <row r="9" spans="1:6">
      <c r="A9" s="7">
        <v>6412</v>
      </c>
      <c r="B9" s="22" t="s">
        <v>331</v>
      </c>
      <c r="C9" s="7">
        <v>350</v>
      </c>
      <c r="D9" s="7">
        <v>1.1</v>
      </c>
      <c r="E9" s="7">
        <f t="shared" si="0"/>
        <v>385</v>
      </c>
      <c r="F9" s="7" t="s">
        <v>22</v>
      </c>
    </row>
    <row r="10" spans="1:6">
      <c r="A10" s="7">
        <v>6517</v>
      </c>
      <c r="B10" s="22" t="s">
        <v>332</v>
      </c>
      <c r="C10" s="7">
        <v>350</v>
      </c>
      <c r="D10" s="7">
        <v>1.1</v>
      </c>
      <c r="E10" s="7">
        <f t="shared" si="0"/>
        <v>385</v>
      </c>
      <c r="F10" s="7" t="s">
        <v>22</v>
      </c>
    </row>
    <row r="11" spans="1:6">
      <c r="A11" s="7">
        <v>6515</v>
      </c>
      <c r="B11" s="22" t="s">
        <v>333</v>
      </c>
      <c r="C11" s="7">
        <v>350</v>
      </c>
      <c r="D11" s="7">
        <v>1.1</v>
      </c>
      <c r="E11" s="7">
        <f t="shared" si="0"/>
        <v>385</v>
      </c>
      <c r="F11" s="7" t="s">
        <v>22</v>
      </c>
    </row>
    <row r="12" spans="1:6">
      <c r="A12" s="7">
        <v>6512</v>
      </c>
      <c r="B12" s="22" t="s">
        <v>334</v>
      </c>
      <c r="C12" s="7">
        <v>350</v>
      </c>
      <c r="D12" s="7">
        <v>1.1</v>
      </c>
      <c r="E12" s="7">
        <f t="shared" si="0"/>
        <v>385</v>
      </c>
      <c r="F12" s="7" t="s">
        <v>22</v>
      </c>
    </row>
    <row r="13" spans="1:6">
      <c r="A13" s="7">
        <v>6518</v>
      </c>
      <c r="B13" s="22" t="s">
        <v>335</v>
      </c>
      <c r="C13" s="7">
        <v>350</v>
      </c>
      <c r="D13" s="7">
        <v>1.1</v>
      </c>
      <c r="E13" s="7">
        <f t="shared" si="0"/>
        <v>385</v>
      </c>
      <c r="F13" s="7" t="s">
        <v>22</v>
      </c>
    </row>
    <row r="14" spans="1:6">
      <c r="A14" s="7">
        <v>6516</v>
      </c>
      <c r="B14" s="22" t="s">
        <v>336</v>
      </c>
      <c r="C14" s="7">
        <v>350</v>
      </c>
      <c r="D14" s="7">
        <v>1.1</v>
      </c>
      <c r="E14" s="7">
        <f t="shared" si="0"/>
        <v>385</v>
      </c>
      <c r="F14" s="7" t="s">
        <v>22</v>
      </c>
    </row>
    <row r="15" spans="3:6">
      <c r="C15" s="8" t="s">
        <v>18</v>
      </c>
      <c r="D15" s="8"/>
      <c r="E15" s="8">
        <f>SUM(E7:E14)</f>
        <v>3080</v>
      </c>
      <c r="F15" s="21"/>
    </row>
    <row r="16" spans="6:6">
      <c r="F16" s="21"/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3" sqref="D13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338</v>
      </c>
      <c r="B3" s="1"/>
      <c r="C3" s="1"/>
      <c r="D3" s="1" t="s">
        <v>311</v>
      </c>
      <c r="E3" s="1"/>
      <c r="F3" s="1"/>
    </row>
    <row r="4" spans="1:6">
      <c r="A4" s="1" t="s">
        <v>69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6412</v>
      </c>
      <c r="B7" s="22" t="s">
        <v>331</v>
      </c>
      <c r="C7" s="7">
        <v>40</v>
      </c>
      <c r="D7" s="7">
        <v>1.1</v>
      </c>
      <c r="E7" s="7">
        <f t="shared" ref="E7" si="0">C7*D7</f>
        <v>44</v>
      </c>
      <c r="F7" s="7" t="s">
        <v>22</v>
      </c>
    </row>
    <row r="8" spans="3:6">
      <c r="C8" s="8" t="s">
        <v>18</v>
      </c>
      <c r="D8" s="8"/>
      <c r="E8" s="8">
        <f>SUM(E7:E7)</f>
        <v>44</v>
      </c>
      <c r="F8" s="21"/>
    </row>
    <row r="9" spans="6:6">
      <c r="F9" s="21"/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2" sqref="D12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339</v>
      </c>
      <c r="B3" s="1"/>
      <c r="C3" s="1"/>
      <c r="D3" s="1" t="s">
        <v>340</v>
      </c>
      <c r="E3" s="1"/>
      <c r="F3" s="1"/>
    </row>
    <row r="4" spans="1:6">
      <c r="A4" s="1" t="s">
        <v>46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6469</v>
      </c>
      <c r="B7" s="22" t="s">
        <v>341</v>
      </c>
      <c r="C7" s="7">
        <v>450</v>
      </c>
      <c r="D7" s="7">
        <v>2757</v>
      </c>
      <c r="E7" s="7">
        <f t="shared" ref="E7:E12" si="0">C7*D7</f>
        <v>1240650</v>
      </c>
      <c r="F7" s="7" t="s">
        <v>13</v>
      </c>
    </row>
    <row r="8" spans="1:6">
      <c r="A8" s="7">
        <v>6191</v>
      </c>
      <c r="B8" s="22" t="s">
        <v>342</v>
      </c>
      <c r="C8" s="7">
        <v>450</v>
      </c>
      <c r="D8" s="7">
        <v>2757</v>
      </c>
      <c r="E8" s="7">
        <f t="shared" si="0"/>
        <v>1240650</v>
      </c>
      <c r="F8" s="7" t="s">
        <v>266</v>
      </c>
    </row>
    <row r="9" spans="1:6">
      <c r="A9" s="7">
        <v>6309</v>
      </c>
      <c r="B9" s="22" t="s">
        <v>343</v>
      </c>
      <c r="C9" s="7">
        <v>450</v>
      </c>
      <c r="D9" s="7">
        <v>2757</v>
      </c>
      <c r="E9" s="7">
        <f t="shared" si="0"/>
        <v>1240650</v>
      </c>
      <c r="F9" s="7" t="s">
        <v>13</v>
      </c>
    </row>
    <row r="10" spans="1:6">
      <c r="A10" s="7">
        <v>6180</v>
      </c>
      <c r="B10" s="22" t="s">
        <v>101</v>
      </c>
      <c r="C10" s="7">
        <v>450</v>
      </c>
      <c r="D10" s="7">
        <v>2757</v>
      </c>
      <c r="E10" s="7">
        <f t="shared" si="0"/>
        <v>1240650</v>
      </c>
      <c r="F10" s="7" t="s">
        <v>17</v>
      </c>
    </row>
    <row r="11" spans="1:6">
      <c r="A11" s="7">
        <v>6492</v>
      </c>
      <c r="B11" s="22" t="s">
        <v>344</v>
      </c>
      <c r="C11" s="7">
        <v>450</v>
      </c>
      <c r="D11" s="7">
        <v>2757</v>
      </c>
      <c r="E11" s="7">
        <f t="shared" si="0"/>
        <v>1240650</v>
      </c>
      <c r="F11" s="7" t="s">
        <v>212</v>
      </c>
    </row>
    <row r="12" spans="1:6">
      <c r="A12" s="7">
        <v>6201</v>
      </c>
      <c r="B12" s="22" t="s">
        <v>195</v>
      </c>
      <c r="C12" s="7">
        <v>518</v>
      </c>
      <c r="D12" s="7">
        <v>2757</v>
      </c>
      <c r="E12" s="7">
        <f t="shared" si="0"/>
        <v>1428126</v>
      </c>
      <c r="F12" s="7" t="s">
        <v>13</v>
      </c>
    </row>
    <row r="13" spans="3:6">
      <c r="C13" s="8" t="s">
        <v>18</v>
      </c>
      <c r="D13" s="8"/>
      <c r="E13" s="8">
        <f>SUM(E7:E12)</f>
        <v>7631376</v>
      </c>
      <c r="F13" s="21"/>
    </row>
    <row r="14" spans="6:6">
      <c r="F14" s="21"/>
    </row>
  </sheetData>
  <mergeCells count="7">
    <mergeCell ref="A3:C3"/>
    <mergeCell ref="D3:F3"/>
    <mergeCell ref="A4:C4"/>
    <mergeCell ref="D4:F4"/>
    <mergeCell ref="A5:F5"/>
    <mergeCell ref="C13:D13"/>
    <mergeCell ref="A1:F2"/>
  </mergeCell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H17" sqref="H1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345</v>
      </c>
      <c r="B3" s="1"/>
      <c r="C3" s="1"/>
      <c r="D3" s="1" t="s">
        <v>340</v>
      </c>
      <c r="E3" s="1"/>
      <c r="F3" s="1"/>
    </row>
    <row r="4" spans="1:6">
      <c r="A4" s="1" t="s">
        <v>61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6013</v>
      </c>
      <c r="B7" s="22" t="s">
        <v>224</v>
      </c>
      <c r="C7" s="7">
        <v>350</v>
      </c>
      <c r="D7" s="7">
        <v>2987</v>
      </c>
      <c r="E7" s="7">
        <f>C7*D7</f>
        <v>1045450</v>
      </c>
      <c r="F7" s="7" t="s">
        <v>22</v>
      </c>
    </row>
    <row r="8" spans="1:6">
      <c r="A8" s="7">
        <v>6350</v>
      </c>
      <c r="B8" s="22" t="s">
        <v>94</v>
      </c>
      <c r="C8" s="7">
        <v>560</v>
      </c>
      <c r="D8" s="7">
        <v>2987</v>
      </c>
      <c r="E8" s="7">
        <f t="shared" ref="E8:E14" si="0">C8*D8</f>
        <v>1672720</v>
      </c>
      <c r="F8" s="7" t="s">
        <v>13</v>
      </c>
    </row>
    <row r="9" spans="1:6">
      <c r="A9" s="7">
        <v>6352</v>
      </c>
      <c r="B9" s="22" t="s">
        <v>169</v>
      </c>
      <c r="C9" s="7">
        <v>560</v>
      </c>
      <c r="D9" s="7">
        <v>2987</v>
      </c>
      <c r="E9" s="7">
        <f t="shared" si="0"/>
        <v>1672720</v>
      </c>
      <c r="F9" s="7" t="s">
        <v>13</v>
      </c>
    </row>
    <row r="10" spans="1:6">
      <c r="A10" s="7">
        <v>6358</v>
      </c>
      <c r="B10" s="22" t="s">
        <v>157</v>
      </c>
      <c r="C10" s="7">
        <v>400</v>
      </c>
      <c r="D10" s="7">
        <v>2987</v>
      </c>
      <c r="E10" s="7">
        <f t="shared" si="0"/>
        <v>1194800</v>
      </c>
      <c r="F10" s="7" t="s">
        <v>22</v>
      </c>
    </row>
    <row r="11" spans="1:6">
      <c r="A11" s="7">
        <v>6286</v>
      </c>
      <c r="B11" s="22" t="s">
        <v>86</v>
      </c>
      <c r="C11" s="7">
        <v>400</v>
      </c>
      <c r="D11" s="7">
        <v>2987</v>
      </c>
      <c r="E11" s="7">
        <f t="shared" si="0"/>
        <v>1194800</v>
      </c>
      <c r="F11" s="7" t="s">
        <v>22</v>
      </c>
    </row>
    <row r="12" spans="1:6">
      <c r="A12" s="7">
        <v>6359</v>
      </c>
      <c r="B12" s="22" t="s">
        <v>152</v>
      </c>
      <c r="C12" s="7">
        <v>400</v>
      </c>
      <c r="D12" s="7">
        <v>2987</v>
      </c>
      <c r="E12" s="7">
        <f t="shared" si="0"/>
        <v>1194800</v>
      </c>
      <c r="F12" s="7" t="s">
        <v>22</v>
      </c>
    </row>
    <row r="13" spans="1:6">
      <c r="A13" s="7">
        <v>6430</v>
      </c>
      <c r="B13" s="22" t="s">
        <v>293</v>
      </c>
      <c r="C13" s="7">
        <v>350</v>
      </c>
      <c r="D13" s="7">
        <v>2987</v>
      </c>
      <c r="E13" s="7">
        <f t="shared" si="0"/>
        <v>1045450</v>
      </c>
      <c r="F13" s="7" t="s">
        <v>22</v>
      </c>
    </row>
    <row r="14" spans="1:6">
      <c r="A14" s="7">
        <v>6426</v>
      </c>
      <c r="B14" s="22" t="s">
        <v>346</v>
      </c>
      <c r="C14" s="7">
        <v>350</v>
      </c>
      <c r="D14" s="7">
        <v>2987</v>
      </c>
      <c r="E14" s="7">
        <f t="shared" si="0"/>
        <v>1045450</v>
      </c>
      <c r="F14" s="7" t="s">
        <v>22</v>
      </c>
    </row>
    <row r="15" spans="3:6">
      <c r="C15" s="8" t="s">
        <v>18</v>
      </c>
      <c r="D15" s="8"/>
      <c r="E15" s="8">
        <f>SUM(E7:E14)</f>
        <v>10066190</v>
      </c>
      <c r="F15" s="21"/>
    </row>
    <row r="16" spans="6:6">
      <c r="F16" s="21"/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2" sqref="D12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347</v>
      </c>
      <c r="B3" s="1"/>
      <c r="C3" s="1"/>
      <c r="D3" s="1" t="s">
        <v>340</v>
      </c>
      <c r="E3" s="1"/>
      <c r="F3" s="1"/>
    </row>
    <row r="4" spans="1:6">
      <c r="A4" s="1" t="s">
        <v>76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6362</v>
      </c>
      <c r="B7" s="22" t="s">
        <v>348</v>
      </c>
      <c r="C7" s="7">
        <v>50</v>
      </c>
      <c r="D7" s="7">
        <v>1.1</v>
      </c>
      <c r="E7" s="7">
        <f>C7*D7</f>
        <v>55</v>
      </c>
      <c r="F7" s="7" t="s">
        <v>22</v>
      </c>
    </row>
    <row r="8" spans="1:6">
      <c r="A8" s="7">
        <v>6363</v>
      </c>
      <c r="B8" s="22" t="s">
        <v>349</v>
      </c>
      <c r="C8" s="7">
        <v>50</v>
      </c>
      <c r="D8" s="7">
        <v>1.1</v>
      </c>
      <c r="E8" s="7">
        <f t="shared" ref="E8:E22" si="0">C8*D8</f>
        <v>55</v>
      </c>
      <c r="F8" s="7" t="s">
        <v>22</v>
      </c>
    </row>
    <row r="9" spans="1:6">
      <c r="A9" s="7">
        <v>6360</v>
      </c>
      <c r="B9" s="22" t="s">
        <v>350</v>
      </c>
      <c r="C9" s="7">
        <v>50</v>
      </c>
      <c r="D9" s="7">
        <v>1.1</v>
      </c>
      <c r="E9" s="7">
        <f t="shared" si="0"/>
        <v>55</v>
      </c>
      <c r="F9" s="7" t="s">
        <v>22</v>
      </c>
    </row>
    <row r="10" spans="1:6">
      <c r="A10" s="7">
        <v>6361</v>
      </c>
      <c r="B10" s="22" t="s">
        <v>351</v>
      </c>
      <c r="C10" s="7">
        <v>50</v>
      </c>
      <c r="D10" s="7">
        <v>1.1</v>
      </c>
      <c r="E10" s="7">
        <f t="shared" si="0"/>
        <v>55</v>
      </c>
      <c r="F10" s="7" t="s">
        <v>22</v>
      </c>
    </row>
    <row r="11" spans="1:6">
      <c r="A11" s="7">
        <v>6431</v>
      </c>
      <c r="B11" s="22" t="s">
        <v>352</v>
      </c>
      <c r="C11" s="7">
        <v>50</v>
      </c>
      <c r="D11" s="7">
        <v>1.1</v>
      </c>
      <c r="E11" s="7">
        <f t="shared" si="0"/>
        <v>55</v>
      </c>
      <c r="F11" s="7" t="s">
        <v>78</v>
      </c>
    </row>
    <row r="12" spans="1:6">
      <c r="A12" s="7">
        <v>6407</v>
      </c>
      <c r="B12" s="22" t="s">
        <v>353</v>
      </c>
      <c r="C12" s="7">
        <v>50</v>
      </c>
      <c r="D12" s="7">
        <v>1.1</v>
      </c>
      <c r="E12" s="7">
        <f t="shared" si="0"/>
        <v>55</v>
      </c>
      <c r="F12" s="7" t="s">
        <v>22</v>
      </c>
    </row>
    <row r="13" spans="1:6">
      <c r="A13" s="7">
        <v>6406</v>
      </c>
      <c r="B13" s="22" t="s">
        <v>354</v>
      </c>
      <c r="C13" s="7">
        <v>50</v>
      </c>
      <c r="D13" s="7">
        <v>1.1</v>
      </c>
      <c r="E13" s="7">
        <f t="shared" si="0"/>
        <v>55</v>
      </c>
      <c r="F13" s="7" t="s">
        <v>22</v>
      </c>
    </row>
    <row r="14" spans="1:6">
      <c r="A14" s="7">
        <v>6409</v>
      </c>
      <c r="B14" s="22" t="s">
        <v>355</v>
      </c>
      <c r="C14" s="7">
        <v>50</v>
      </c>
      <c r="D14" s="7">
        <v>1.1</v>
      </c>
      <c r="E14" s="7">
        <f t="shared" si="0"/>
        <v>55</v>
      </c>
      <c r="F14" s="7" t="s">
        <v>22</v>
      </c>
    </row>
    <row r="15" spans="1:6">
      <c r="A15" s="7">
        <v>6413</v>
      </c>
      <c r="B15" s="22" t="s">
        <v>356</v>
      </c>
      <c r="C15" s="7">
        <v>50</v>
      </c>
      <c r="D15" s="7">
        <v>1.1</v>
      </c>
      <c r="E15" s="7">
        <f t="shared" si="0"/>
        <v>55</v>
      </c>
      <c r="F15" s="7" t="s">
        <v>22</v>
      </c>
    </row>
    <row r="16" spans="1:6">
      <c r="A16" s="7">
        <v>6314</v>
      </c>
      <c r="B16" s="22" t="s">
        <v>357</v>
      </c>
      <c r="C16" s="7">
        <v>50</v>
      </c>
      <c r="D16" s="7">
        <v>1.1</v>
      </c>
      <c r="E16" s="7">
        <f t="shared" si="0"/>
        <v>55</v>
      </c>
      <c r="F16" s="7" t="s">
        <v>22</v>
      </c>
    </row>
    <row r="17" spans="1:6">
      <c r="A17" s="7">
        <v>6320</v>
      </c>
      <c r="B17" s="22" t="s">
        <v>358</v>
      </c>
      <c r="C17" s="7">
        <v>50</v>
      </c>
      <c r="D17" s="7">
        <v>1.1</v>
      </c>
      <c r="E17" s="7">
        <f t="shared" si="0"/>
        <v>55</v>
      </c>
      <c r="F17" s="7" t="s">
        <v>22</v>
      </c>
    </row>
    <row r="18" spans="1:6">
      <c r="A18" s="7">
        <v>6315</v>
      </c>
      <c r="B18" s="22" t="s">
        <v>359</v>
      </c>
      <c r="C18" s="7">
        <v>50</v>
      </c>
      <c r="D18" s="7">
        <v>1.1</v>
      </c>
      <c r="E18" s="7">
        <f t="shared" si="0"/>
        <v>55</v>
      </c>
      <c r="F18" s="7" t="s">
        <v>22</v>
      </c>
    </row>
    <row r="19" spans="1:6">
      <c r="A19" s="7">
        <v>6317</v>
      </c>
      <c r="B19" s="22" t="s">
        <v>360</v>
      </c>
      <c r="C19" s="7">
        <v>50</v>
      </c>
      <c r="D19" s="7">
        <v>1.1</v>
      </c>
      <c r="E19" s="7">
        <f t="shared" si="0"/>
        <v>55</v>
      </c>
      <c r="F19" s="7" t="s">
        <v>22</v>
      </c>
    </row>
    <row r="20" spans="1:6">
      <c r="A20" s="7">
        <v>6514</v>
      </c>
      <c r="B20" s="22" t="s">
        <v>361</v>
      </c>
      <c r="C20" s="7">
        <v>50</v>
      </c>
      <c r="D20" s="7">
        <v>1.1</v>
      </c>
      <c r="E20" s="7">
        <f t="shared" si="0"/>
        <v>55</v>
      </c>
      <c r="F20" s="7" t="s">
        <v>22</v>
      </c>
    </row>
    <row r="21" spans="1:6">
      <c r="A21" s="7">
        <v>6374</v>
      </c>
      <c r="B21" s="22" t="s">
        <v>151</v>
      </c>
      <c r="C21" s="7">
        <v>50</v>
      </c>
      <c r="D21" s="7">
        <v>1.1</v>
      </c>
      <c r="E21" s="7">
        <f t="shared" si="0"/>
        <v>55</v>
      </c>
      <c r="F21" s="7" t="s">
        <v>22</v>
      </c>
    </row>
    <row r="22" spans="1:6">
      <c r="A22" s="7">
        <v>6280</v>
      </c>
      <c r="B22" s="22" t="s">
        <v>362</v>
      </c>
      <c r="C22" s="7">
        <v>50</v>
      </c>
      <c r="D22" s="7">
        <v>1.1</v>
      </c>
      <c r="E22" s="7">
        <f t="shared" si="0"/>
        <v>55</v>
      </c>
      <c r="F22" s="7" t="s">
        <v>22</v>
      </c>
    </row>
    <row r="23" spans="3:5">
      <c r="C23" s="7" t="s">
        <v>18</v>
      </c>
      <c r="D23" s="7"/>
      <c r="E23" s="7">
        <f>SUM(E7:E22)</f>
        <v>880</v>
      </c>
    </row>
  </sheetData>
  <mergeCells count="7">
    <mergeCell ref="A3:C3"/>
    <mergeCell ref="D3:F3"/>
    <mergeCell ref="A4:C4"/>
    <mergeCell ref="D4:F4"/>
    <mergeCell ref="A5:F5"/>
    <mergeCell ref="C23:D23"/>
    <mergeCell ref="A1:F2"/>
  </mergeCells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3" sqref="D13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363</v>
      </c>
      <c r="B3" s="1"/>
      <c r="C3" s="1"/>
      <c r="D3" s="1" t="s">
        <v>340</v>
      </c>
      <c r="E3" s="1"/>
      <c r="F3" s="1"/>
    </row>
    <row r="4" spans="1:6">
      <c r="A4" s="1" t="s">
        <v>3</v>
      </c>
      <c r="B4" s="1"/>
      <c r="C4" s="1"/>
      <c r="D4" s="1" t="s">
        <v>4</v>
      </c>
      <c r="E4" s="1"/>
      <c r="F4" s="1"/>
    </row>
    <row r="5" spans="1:6">
      <c r="A5" s="7" t="s">
        <v>5</v>
      </c>
      <c r="B5" s="7"/>
      <c r="C5" s="7"/>
      <c r="D5" s="7"/>
      <c r="E5" s="7"/>
      <c r="F5" s="7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6362</v>
      </c>
      <c r="B7" s="22" t="s">
        <v>348</v>
      </c>
      <c r="C7" s="7">
        <v>350</v>
      </c>
      <c r="D7" s="7">
        <v>1.1</v>
      </c>
      <c r="E7" s="7">
        <f>C7*D7</f>
        <v>385</v>
      </c>
      <c r="F7" s="7" t="s">
        <v>22</v>
      </c>
    </row>
    <row r="8" spans="1:6">
      <c r="A8" s="7">
        <v>6363</v>
      </c>
      <c r="B8" s="22" t="s">
        <v>349</v>
      </c>
      <c r="C8" s="7">
        <v>350</v>
      </c>
      <c r="D8" s="7">
        <v>1.1</v>
      </c>
      <c r="E8" s="7">
        <f t="shared" ref="E8:E22" si="0">C8*D8</f>
        <v>385</v>
      </c>
      <c r="F8" s="7" t="s">
        <v>22</v>
      </c>
    </row>
    <row r="9" spans="1:6">
      <c r="A9" s="7">
        <v>6360</v>
      </c>
      <c r="B9" s="22" t="s">
        <v>350</v>
      </c>
      <c r="C9" s="7">
        <v>350</v>
      </c>
      <c r="D9" s="7">
        <v>1.1</v>
      </c>
      <c r="E9" s="7">
        <f t="shared" si="0"/>
        <v>385</v>
      </c>
      <c r="F9" s="7" t="s">
        <v>22</v>
      </c>
    </row>
    <row r="10" spans="1:6">
      <c r="A10" s="7">
        <v>6361</v>
      </c>
      <c r="B10" s="22" t="s">
        <v>351</v>
      </c>
      <c r="C10" s="7">
        <v>350</v>
      </c>
      <c r="D10" s="7">
        <v>1.1</v>
      </c>
      <c r="E10" s="7">
        <f t="shared" si="0"/>
        <v>385</v>
      </c>
      <c r="F10" s="7" t="s">
        <v>22</v>
      </c>
    </row>
    <row r="11" spans="1:6">
      <c r="A11" s="7">
        <v>6431</v>
      </c>
      <c r="B11" s="22" t="s">
        <v>352</v>
      </c>
      <c r="C11" s="7">
        <v>350</v>
      </c>
      <c r="D11" s="7">
        <v>1.1</v>
      </c>
      <c r="E11" s="7">
        <f t="shared" si="0"/>
        <v>385</v>
      </c>
      <c r="F11" s="7" t="s">
        <v>78</v>
      </c>
    </row>
    <row r="12" spans="1:6">
      <c r="A12" s="7">
        <v>6407</v>
      </c>
      <c r="B12" s="22" t="s">
        <v>353</v>
      </c>
      <c r="C12" s="7">
        <v>350</v>
      </c>
      <c r="D12" s="7">
        <v>1.1</v>
      </c>
      <c r="E12" s="7">
        <f t="shared" si="0"/>
        <v>385</v>
      </c>
      <c r="F12" s="7" t="s">
        <v>22</v>
      </c>
    </row>
    <row r="13" spans="1:6">
      <c r="A13" s="7">
        <v>6406</v>
      </c>
      <c r="B13" s="22" t="s">
        <v>354</v>
      </c>
      <c r="C13" s="7">
        <v>350</v>
      </c>
      <c r="D13" s="7">
        <v>1.1</v>
      </c>
      <c r="E13" s="7">
        <f t="shared" si="0"/>
        <v>385</v>
      </c>
      <c r="F13" s="7" t="s">
        <v>22</v>
      </c>
    </row>
    <row r="14" spans="1:6">
      <c r="A14" s="7">
        <v>6409</v>
      </c>
      <c r="B14" s="22" t="s">
        <v>355</v>
      </c>
      <c r="C14" s="7">
        <v>350</v>
      </c>
      <c r="D14" s="7">
        <v>1.1</v>
      </c>
      <c r="E14" s="7">
        <f t="shared" si="0"/>
        <v>385</v>
      </c>
      <c r="F14" s="7" t="s">
        <v>22</v>
      </c>
    </row>
    <row r="15" spans="1:6">
      <c r="A15" s="7">
        <v>6413</v>
      </c>
      <c r="B15" s="22" t="s">
        <v>356</v>
      </c>
      <c r="C15" s="7">
        <v>350</v>
      </c>
      <c r="D15" s="7">
        <v>1.1</v>
      </c>
      <c r="E15" s="7">
        <f t="shared" si="0"/>
        <v>385</v>
      </c>
      <c r="F15" s="7" t="s">
        <v>22</v>
      </c>
    </row>
    <row r="16" spans="1:6">
      <c r="A16" s="7">
        <v>6314</v>
      </c>
      <c r="B16" s="22" t="s">
        <v>357</v>
      </c>
      <c r="C16" s="7">
        <v>350</v>
      </c>
      <c r="D16" s="7">
        <v>1.1</v>
      </c>
      <c r="E16" s="7">
        <f t="shared" si="0"/>
        <v>385</v>
      </c>
      <c r="F16" s="7" t="s">
        <v>22</v>
      </c>
    </row>
    <row r="17" spans="1:6">
      <c r="A17" s="7">
        <v>6320</v>
      </c>
      <c r="B17" s="22" t="s">
        <v>358</v>
      </c>
      <c r="C17" s="7">
        <v>350</v>
      </c>
      <c r="D17" s="7">
        <v>1.1</v>
      </c>
      <c r="E17" s="7">
        <f t="shared" si="0"/>
        <v>385</v>
      </c>
      <c r="F17" s="7" t="s">
        <v>22</v>
      </c>
    </row>
    <row r="18" spans="1:6">
      <c r="A18" s="7">
        <v>6315</v>
      </c>
      <c r="B18" s="22" t="s">
        <v>359</v>
      </c>
      <c r="C18" s="7">
        <v>350</v>
      </c>
      <c r="D18" s="7">
        <v>1.1</v>
      </c>
      <c r="E18" s="7">
        <f t="shared" si="0"/>
        <v>385</v>
      </c>
      <c r="F18" s="7" t="s">
        <v>22</v>
      </c>
    </row>
    <row r="19" spans="1:6">
      <c r="A19" s="7">
        <v>6317</v>
      </c>
      <c r="B19" s="22" t="s">
        <v>360</v>
      </c>
      <c r="C19" s="7">
        <v>350</v>
      </c>
      <c r="D19" s="7">
        <v>1.1</v>
      </c>
      <c r="E19" s="7">
        <f t="shared" si="0"/>
        <v>385</v>
      </c>
      <c r="F19" s="7" t="s">
        <v>22</v>
      </c>
    </row>
    <row r="20" spans="1:6">
      <c r="A20" s="7">
        <v>6514</v>
      </c>
      <c r="B20" s="22" t="s">
        <v>361</v>
      </c>
      <c r="C20" s="7">
        <v>350</v>
      </c>
      <c r="D20" s="7">
        <v>1.1</v>
      </c>
      <c r="E20" s="7">
        <f t="shared" si="0"/>
        <v>385</v>
      </c>
      <c r="F20" s="7" t="s">
        <v>22</v>
      </c>
    </row>
    <row r="21" spans="1:6">
      <c r="A21" s="7">
        <v>6374</v>
      </c>
      <c r="B21" s="22" t="s">
        <v>151</v>
      </c>
      <c r="C21" s="7">
        <v>350</v>
      </c>
      <c r="D21" s="7">
        <v>1.1</v>
      </c>
      <c r="E21" s="7">
        <f t="shared" si="0"/>
        <v>385</v>
      </c>
      <c r="F21" s="7" t="s">
        <v>22</v>
      </c>
    </row>
    <row r="22" spans="1:6">
      <c r="A22" s="7">
        <v>6280</v>
      </c>
      <c r="B22" s="22" t="s">
        <v>362</v>
      </c>
      <c r="C22" s="7">
        <v>350</v>
      </c>
      <c r="D22" s="7">
        <v>1.1</v>
      </c>
      <c r="E22" s="7">
        <f t="shared" si="0"/>
        <v>385</v>
      </c>
      <c r="F22" s="7" t="s">
        <v>22</v>
      </c>
    </row>
    <row r="23" spans="3:5">
      <c r="C23" s="7" t="s">
        <v>18</v>
      </c>
      <c r="D23" s="7"/>
      <c r="E23" s="7">
        <f>SUM(E7:E22)</f>
        <v>6160</v>
      </c>
    </row>
  </sheetData>
  <mergeCells count="7">
    <mergeCell ref="A3:C3"/>
    <mergeCell ref="D3:F3"/>
    <mergeCell ref="A4:C4"/>
    <mergeCell ref="D4:F4"/>
    <mergeCell ref="A5:F5"/>
    <mergeCell ref="C23:D23"/>
    <mergeCell ref="A1:F2"/>
  </mergeCells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5" sqref="A5:F5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364</v>
      </c>
      <c r="B3" s="1"/>
      <c r="C3" s="1"/>
      <c r="D3" s="1" t="s">
        <v>340</v>
      </c>
      <c r="E3" s="1"/>
      <c r="F3" s="1"/>
    </row>
    <row r="4" spans="1:6">
      <c r="A4" s="2" t="s">
        <v>69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6"/>
      <c r="F5" s="49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6407</v>
      </c>
      <c r="B7" s="22" t="s">
        <v>353</v>
      </c>
      <c r="C7" s="7">
        <v>50</v>
      </c>
      <c r="D7" s="7">
        <v>1.1</v>
      </c>
      <c r="E7" s="7">
        <f t="shared" ref="E7:E10" si="0">C7*D7</f>
        <v>55</v>
      </c>
      <c r="F7" s="7" t="s">
        <v>22</v>
      </c>
    </row>
    <row r="8" spans="1:6">
      <c r="A8" s="7">
        <v>6406</v>
      </c>
      <c r="B8" s="22" t="s">
        <v>354</v>
      </c>
      <c r="C8" s="7">
        <v>50</v>
      </c>
      <c r="D8" s="7">
        <v>1.1</v>
      </c>
      <c r="E8" s="7">
        <f t="shared" si="0"/>
        <v>55</v>
      </c>
      <c r="F8" s="7" t="s">
        <v>22</v>
      </c>
    </row>
    <row r="9" spans="1:6">
      <c r="A9" s="7">
        <v>6409</v>
      </c>
      <c r="B9" s="22" t="s">
        <v>355</v>
      </c>
      <c r="C9" s="7">
        <v>50</v>
      </c>
      <c r="D9" s="7">
        <v>1.1</v>
      </c>
      <c r="E9" s="7">
        <f t="shared" si="0"/>
        <v>55</v>
      </c>
      <c r="F9" s="7" t="s">
        <v>22</v>
      </c>
    </row>
    <row r="10" spans="1:6">
      <c r="A10" s="7">
        <v>6374</v>
      </c>
      <c r="B10" s="22" t="s">
        <v>151</v>
      </c>
      <c r="C10" s="7">
        <v>60</v>
      </c>
      <c r="D10" s="7">
        <v>1.1</v>
      </c>
      <c r="E10" s="7">
        <f t="shared" si="0"/>
        <v>66</v>
      </c>
      <c r="F10" s="7" t="s">
        <v>22</v>
      </c>
    </row>
    <row r="11" spans="3:5">
      <c r="C11" s="7" t="s">
        <v>18</v>
      </c>
      <c r="D11" s="7"/>
      <c r="E11" s="7">
        <f>SUM(E7:E10)</f>
        <v>231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8" sqref="E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365</v>
      </c>
      <c r="B3" s="1"/>
      <c r="C3" s="1"/>
      <c r="D3" s="1" t="s">
        <v>340</v>
      </c>
      <c r="E3" s="1"/>
      <c r="F3" s="1"/>
    </row>
    <row r="4" spans="1:6">
      <c r="A4" s="2" t="s">
        <v>302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6"/>
      <c r="F5" s="49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5942</v>
      </c>
      <c r="B7" s="22" t="s">
        <v>366</v>
      </c>
      <c r="C7" s="7">
        <v>580</v>
      </c>
      <c r="D7" s="7">
        <v>2730</v>
      </c>
      <c r="E7" s="7">
        <f t="shared" ref="E7:E8" si="0">C7*D7</f>
        <v>1583400</v>
      </c>
      <c r="F7" s="7" t="s">
        <v>13</v>
      </c>
    </row>
    <row r="8" spans="1:6">
      <c r="A8" s="7">
        <v>6417</v>
      </c>
      <c r="B8" s="22" t="s">
        <v>77</v>
      </c>
      <c r="C8" s="7">
        <v>70</v>
      </c>
      <c r="D8" s="7">
        <v>2730</v>
      </c>
      <c r="E8" s="7">
        <f t="shared" si="0"/>
        <v>191100</v>
      </c>
      <c r="F8" s="7" t="s">
        <v>78</v>
      </c>
    </row>
    <row r="9" spans="3:5">
      <c r="C9" s="7" t="s">
        <v>18</v>
      </c>
      <c r="D9" s="7"/>
      <c r="E9" s="7">
        <f>SUM(E7:E8)</f>
        <v>1774500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5" sqref="A5:F5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367</v>
      </c>
      <c r="B3" s="1"/>
      <c r="C3" s="1"/>
      <c r="D3" s="1" t="s">
        <v>340</v>
      </c>
      <c r="E3" s="1"/>
      <c r="F3" s="1"/>
    </row>
    <row r="4" spans="1:6">
      <c r="A4" s="2" t="s">
        <v>56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6"/>
      <c r="F5" s="49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5942</v>
      </c>
      <c r="B7" s="22" t="s">
        <v>366</v>
      </c>
      <c r="C7" s="7">
        <v>70</v>
      </c>
      <c r="D7" s="7">
        <v>2710</v>
      </c>
      <c r="E7" s="7">
        <f t="shared" ref="E7:E8" si="0">C7*D7</f>
        <v>189700</v>
      </c>
      <c r="F7" s="7" t="s">
        <v>13</v>
      </c>
    </row>
    <row r="8" spans="1:6">
      <c r="A8" s="7">
        <v>6417</v>
      </c>
      <c r="B8" s="22" t="s">
        <v>77</v>
      </c>
      <c r="C8" s="7">
        <v>100</v>
      </c>
      <c r="D8" s="7">
        <v>2710</v>
      </c>
      <c r="E8" s="7">
        <f t="shared" si="0"/>
        <v>271000</v>
      </c>
      <c r="F8" s="7" t="s">
        <v>78</v>
      </c>
    </row>
    <row r="9" spans="3:5">
      <c r="C9" s="7" t="s">
        <v>18</v>
      </c>
      <c r="D9" s="7"/>
      <c r="E9" s="7">
        <f>SUM(E7:E8)</f>
        <v>460700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10" sqref="E1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368</v>
      </c>
      <c r="B3" s="1"/>
      <c r="C3" s="1"/>
      <c r="D3" s="1" t="s">
        <v>340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5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21"/>
      <c r="B7" s="22" t="s">
        <v>37</v>
      </c>
      <c r="C7" s="7">
        <v>120</v>
      </c>
      <c r="D7" s="7">
        <v>2704</v>
      </c>
      <c r="E7" s="7">
        <f t="shared" ref="E7:E14" si="0">C7*D7</f>
        <v>324480</v>
      </c>
      <c r="F7" s="21"/>
    </row>
    <row r="8" spans="1:6">
      <c r="A8" s="21"/>
      <c r="B8" s="22" t="s">
        <v>163</v>
      </c>
      <c r="C8" s="7">
        <v>120</v>
      </c>
      <c r="D8" s="7">
        <v>2704</v>
      </c>
      <c r="E8" s="7">
        <f t="shared" si="0"/>
        <v>324480</v>
      </c>
      <c r="F8" s="21"/>
    </row>
    <row r="9" spans="1:6">
      <c r="A9" s="21"/>
      <c r="B9" s="22" t="s">
        <v>369</v>
      </c>
      <c r="C9" s="7">
        <v>40</v>
      </c>
      <c r="D9" s="7">
        <v>2704</v>
      </c>
      <c r="E9" s="7">
        <f t="shared" si="0"/>
        <v>108160</v>
      </c>
      <c r="F9" s="21"/>
    </row>
    <row r="10" spans="1:6">
      <c r="A10" s="21"/>
      <c r="B10" s="22" t="s">
        <v>370</v>
      </c>
      <c r="C10" s="7">
        <v>20</v>
      </c>
      <c r="D10" s="7">
        <v>2704</v>
      </c>
      <c r="E10" s="7">
        <f t="shared" si="0"/>
        <v>54080</v>
      </c>
      <c r="F10" s="21"/>
    </row>
    <row r="11" spans="1:6">
      <c r="A11" s="21"/>
      <c r="B11" s="22" t="s">
        <v>30</v>
      </c>
      <c r="C11" s="7">
        <v>120</v>
      </c>
      <c r="D11" s="7">
        <v>2704</v>
      </c>
      <c r="E11" s="7">
        <f t="shared" si="0"/>
        <v>324480</v>
      </c>
      <c r="F11" s="21"/>
    </row>
    <row r="12" spans="1:6">
      <c r="A12" s="21"/>
      <c r="B12" s="22" t="s">
        <v>371</v>
      </c>
      <c r="C12" s="7">
        <v>120</v>
      </c>
      <c r="D12" s="7">
        <v>2704</v>
      </c>
      <c r="E12" s="7">
        <f t="shared" si="0"/>
        <v>324480</v>
      </c>
      <c r="F12" s="21"/>
    </row>
    <row r="13" spans="1:6">
      <c r="A13" s="21"/>
      <c r="B13" s="22" t="s">
        <v>41</v>
      </c>
      <c r="C13" s="7">
        <v>120</v>
      </c>
      <c r="D13" s="7">
        <v>2704</v>
      </c>
      <c r="E13" s="7">
        <f t="shared" si="0"/>
        <v>324480</v>
      </c>
      <c r="F13" s="21"/>
    </row>
    <row r="14" spans="1:6">
      <c r="A14" s="21"/>
      <c r="B14" s="22" t="s">
        <v>31</v>
      </c>
      <c r="C14" s="7">
        <v>120</v>
      </c>
      <c r="D14" s="7">
        <v>2704</v>
      </c>
      <c r="E14" s="7">
        <f t="shared" si="0"/>
        <v>324480</v>
      </c>
      <c r="F14" s="21"/>
    </row>
    <row r="15" spans="3:5">
      <c r="C15" s="8" t="s">
        <v>18</v>
      </c>
      <c r="D15" s="8"/>
      <c r="E15" s="8">
        <f>SUM(E7:E14)</f>
        <v>2109120</v>
      </c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16" sqref="E16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372</v>
      </c>
      <c r="B3" s="1"/>
      <c r="C3" s="1"/>
      <c r="D3" s="1" t="s">
        <v>340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5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21"/>
      <c r="B7" s="22" t="s">
        <v>369</v>
      </c>
      <c r="C7" s="7">
        <v>80</v>
      </c>
      <c r="D7" s="7">
        <v>2704</v>
      </c>
      <c r="E7" s="7">
        <f t="shared" ref="E7:E8" si="0">C7*D7</f>
        <v>216320</v>
      </c>
      <c r="F7" s="21"/>
    </row>
    <row r="8" spans="1:6">
      <c r="A8" s="21"/>
      <c r="B8" s="22" t="s">
        <v>370</v>
      </c>
      <c r="C8" s="7">
        <v>100</v>
      </c>
      <c r="D8" s="7">
        <v>2704</v>
      </c>
      <c r="E8" s="7">
        <f t="shared" si="0"/>
        <v>270400</v>
      </c>
      <c r="F8" s="21"/>
    </row>
    <row r="9" spans="3:5">
      <c r="C9" s="8" t="s">
        <v>18</v>
      </c>
      <c r="D9" s="8"/>
      <c r="E9" s="8">
        <f>SUM(E7:E8)</f>
        <v>486720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25" sqref="E25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373</v>
      </c>
      <c r="B3" s="1"/>
      <c r="C3" s="1"/>
      <c r="D3" s="1" t="s">
        <v>374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6482</v>
      </c>
      <c r="B7" s="22" t="s">
        <v>32</v>
      </c>
      <c r="C7" s="7">
        <v>120</v>
      </c>
      <c r="D7" s="7">
        <v>2704</v>
      </c>
      <c r="E7" s="7">
        <f t="shared" ref="E7:E9" si="0">C7*D7</f>
        <v>324480</v>
      </c>
      <c r="F7" s="7" t="s">
        <v>13</v>
      </c>
    </row>
    <row r="8" spans="1:6">
      <c r="A8" s="5">
        <v>6483</v>
      </c>
      <c r="B8" s="22" t="s">
        <v>25</v>
      </c>
      <c r="C8" s="7">
        <v>120</v>
      </c>
      <c r="D8" s="7">
        <v>2704</v>
      </c>
      <c r="E8" s="7">
        <f t="shared" si="0"/>
        <v>324480</v>
      </c>
      <c r="F8" s="7" t="s">
        <v>13</v>
      </c>
    </row>
    <row r="9" spans="1:6">
      <c r="A9" s="21"/>
      <c r="B9" s="22" t="s">
        <v>39</v>
      </c>
      <c r="C9" s="7">
        <v>120</v>
      </c>
      <c r="D9" s="7">
        <v>2704</v>
      </c>
      <c r="E9" s="7">
        <f t="shared" si="0"/>
        <v>324480</v>
      </c>
      <c r="F9" s="21"/>
    </row>
    <row r="10" spans="3:5">
      <c r="C10" s="8" t="s">
        <v>18</v>
      </c>
      <c r="D10" s="8"/>
      <c r="E10" s="8">
        <f>SUM(E7:E9)</f>
        <v>973440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C7" sqref="C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375</v>
      </c>
      <c r="B3" s="1"/>
      <c r="C3" s="1"/>
      <c r="D3" s="1" t="s">
        <v>374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6387</v>
      </c>
      <c r="B7" s="22" t="s">
        <v>241</v>
      </c>
      <c r="C7" s="7">
        <v>400</v>
      </c>
      <c r="D7" s="7">
        <v>3039</v>
      </c>
      <c r="E7" s="7">
        <f t="shared" ref="E7:E14" si="0">C7*D7</f>
        <v>1215600</v>
      </c>
      <c r="F7" s="7" t="s">
        <v>22</v>
      </c>
    </row>
    <row r="8" spans="1:6">
      <c r="A8" s="7">
        <v>6270</v>
      </c>
      <c r="B8" s="22" t="s">
        <v>286</v>
      </c>
      <c r="C8" s="7">
        <v>50</v>
      </c>
      <c r="D8" s="7">
        <v>3039</v>
      </c>
      <c r="E8" s="7">
        <f t="shared" si="0"/>
        <v>151950</v>
      </c>
      <c r="F8" s="7" t="s">
        <v>22</v>
      </c>
    </row>
    <row r="9" spans="1:6">
      <c r="A9" s="7">
        <v>6278</v>
      </c>
      <c r="B9" s="22" t="s">
        <v>282</v>
      </c>
      <c r="C9" s="7">
        <v>50</v>
      </c>
      <c r="D9" s="7">
        <v>3039</v>
      </c>
      <c r="E9" s="7">
        <f t="shared" si="0"/>
        <v>151950</v>
      </c>
      <c r="F9" s="7" t="s">
        <v>22</v>
      </c>
    </row>
    <row r="10" spans="1:6">
      <c r="A10" s="7">
        <v>6281</v>
      </c>
      <c r="B10" s="22" t="s">
        <v>283</v>
      </c>
      <c r="C10" s="7">
        <v>50</v>
      </c>
      <c r="D10" s="7">
        <v>3039</v>
      </c>
      <c r="E10" s="7">
        <f t="shared" si="0"/>
        <v>151950</v>
      </c>
      <c r="F10" s="7" t="s">
        <v>22</v>
      </c>
    </row>
    <row r="11" spans="1:6">
      <c r="A11" s="7">
        <v>6279</v>
      </c>
      <c r="B11" s="22" t="s">
        <v>292</v>
      </c>
      <c r="C11" s="7">
        <v>50</v>
      </c>
      <c r="D11" s="7">
        <v>3039</v>
      </c>
      <c r="E11" s="7">
        <f t="shared" si="0"/>
        <v>151950</v>
      </c>
      <c r="F11" s="7" t="s">
        <v>22</v>
      </c>
    </row>
    <row r="12" spans="1:6">
      <c r="A12" s="7">
        <v>6270</v>
      </c>
      <c r="B12" s="22" t="s">
        <v>291</v>
      </c>
      <c r="C12" s="7">
        <v>50</v>
      </c>
      <c r="D12" s="7">
        <v>3039</v>
      </c>
      <c r="E12" s="7">
        <f t="shared" si="0"/>
        <v>151950</v>
      </c>
      <c r="F12" s="7" t="s">
        <v>22</v>
      </c>
    </row>
    <row r="13" spans="1:6">
      <c r="A13" s="7">
        <v>6169</v>
      </c>
      <c r="B13" s="22" t="s">
        <v>285</v>
      </c>
      <c r="C13" s="7">
        <v>50</v>
      </c>
      <c r="D13" s="7">
        <v>3039</v>
      </c>
      <c r="E13" s="7">
        <f t="shared" si="0"/>
        <v>151950</v>
      </c>
      <c r="F13" s="7" t="s">
        <v>22</v>
      </c>
    </row>
    <row r="14" spans="1:6">
      <c r="A14" s="7">
        <v>6363</v>
      </c>
      <c r="B14" s="22" t="s">
        <v>349</v>
      </c>
      <c r="C14" s="7">
        <v>100</v>
      </c>
      <c r="D14" s="7">
        <v>3039</v>
      </c>
      <c r="E14" s="7">
        <f t="shared" si="0"/>
        <v>303900</v>
      </c>
      <c r="F14" s="7" t="s">
        <v>22</v>
      </c>
    </row>
    <row r="15" spans="3:5">
      <c r="C15" s="8" t="s">
        <v>18</v>
      </c>
      <c r="D15" s="8"/>
      <c r="E15" s="8">
        <f>SUM(E7:E14)</f>
        <v>2431200</v>
      </c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7" sqref="B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376</v>
      </c>
      <c r="B3" s="1"/>
      <c r="C3" s="1"/>
      <c r="D3" s="1" t="s">
        <v>374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6501</v>
      </c>
      <c r="B7" s="22" t="s">
        <v>377</v>
      </c>
      <c r="C7" s="7">
        <v>450</v>
      </c>
      <c r="D7" s="7">
        <v>2757</v>
      </c>
      <c r="E7" s="7">
        <f t="shared" ref="E7:E8" si="0">C7*D7</f>
        <v>1240650</v>
      </c>
      <c r="F7" s="7" t="s">
        <v>212</v>
      </c>
    </row>
    <row r="8" spans="1:6">
      <c r="A8" s="7">
        <v>6494</v>
      </c>
      <c r="B8" s="22" t="s">
        <v>378</v>
      </c>
      <c r="C8" s="7">
        <v>450</v>
      </c>
      <c r="D8" s="7">
        <v>2757</v>
      </c>
      <c r="E8" s="7">
        <f t="shared" si="0"/>
        <v>1240650</v>
      </c>
      <c r="F8" s="7" t="s">
        <v>212</v>
      </c>
    </row>
    <row r="9" spans="3:5">
      <c r="C9" s="8" t="s">
        <v>18</v>
      </c>
      <c r="D9" s="8"/>
      <c r="E9" s="8">
        <f>SUM(E7:E8)</f>
        <v>2481300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I15" sqref="I15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379</v>
      </c>
      <c r="B3" s="1"/>
      <c r="C3" s="1"/>
      <c r="D3" s="1" t="s">
        <v>374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6231</v>
      </c>
      <c r="B7" s="22" t="s">
        <v>313</v>
      </c>
      <c r="C7" s="7">
        <v>360</v>
      </c>
      <c r="D7" s="7">
        <v>1.1</v>
      </c>
      <c r="E7" s="7">
        <f t="shared" ref="E7:E9" si="0">C7*D7</f>
        <v>396</v>
      </c>
      <c r="F7" s="7" t="s">
        <v>189</v>
      </c>
    </row>
    <row r="8" spans="1:6">
      <c r="A8" s="7">
        <v>6473</v>
      </c>
      <c r="B8" s="22" t="s">
        <v>275</v>
      </c>
      <c r="C8" s="7">
        <v>560</v>
      </c>
      <c r="D8" s="7">
        <v>1.1</v>
      </c>
      <c r="E8" s="7">
        <f t="shared" si="0"/>
        <v>616</v>
      </c>
      <c r="F8" s="7" t="s">
        <v>13</v>
      </c>
    </row>
    <row r="9" spans="1:6">
      <c r="A9" s="7">
        <v>6468</v>
      </c>
      <c r="B9" s="22" t="s">
        <v>308</v>
      </c>
      <c r="C9" s="7">
        <v>560</v>
      </c>
      <c r="D9" s="7">
        <v>1.1</v>
      </c>
      <c r="E9" s="7">
        <f t="shared" si="0"/>
        <v>616</v>
      </c>
      <c r="F9" s="7" t="s">
        <v>13</v>
      </c>
    </row>
    <row r="10" spans="3:5">
      <c r="C10" s="8" t="s">
        <v>18</v>
      </c>
      <c r="D10" s="8"/>
      <c r="E10" s="8">
        <f>SUM(E7:E9)</f>
        <v>1628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B7" sqref="B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380</v>
      </c>
      <c r="B3" s="1"/>
      <c r="C3" s="1"/>
      <c r="D3" s="1" t="s">
        <v>374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6485</v>
      </c>
      <c r="B7" s="22" t="s">
        <v>27</v>
      </c>
      <c r="C7" s="7">
        <v>120</v>
      </c>
      <c r="D7" s="7">
        <v>2704</v>
      </c>
      <c r="E7" s="7">
        <f t="shared" ref="E7:E9" si="0">C7*D7</f>
        <v>324480</v>
      </c>
      <c r="F7" s="7" t="s">
        <v>13</v>
      </c>
    </row>
    <row r="8" spans="1:6">
      <c r="A8" s="7">
        <v>6488</v>
      </c>
      <c r="B8" s="22" t="s">
        <v>42</v>
      </c>
      <c r="C8" s="7">
        <v>120</v>
      </c>
      <c r="D8" s="7">
        <v>2704</v>
      </c>
      <c r="E8" s="7">
        <f t="shared" si="0"/>
        <v>324480</v>
      </c>
      <c r="F8" s="7" t="s">
        <v>13</v>
      </c>
    </row>
    <row r="9" spans="1:6">
      <c r="A9" s="7">
        <v>6339</v>
      </c>
      <c r="B9" s="22" t="s">
        <v>381</v>
      </c>
      <c r="C9" s="7">
        <v>50</v>
      </c>
      <c r="D9" s="7">
        <v>2704</v>
      </c>
      <c r="E9" s="7">
        <f t="shared" si="0"/>
        <v>135200</v>
      </c>
      <c r="F9" s="7" t="s">
        <v>13</v>
      </c>
    </row>
    <row r="10" spans="3:5">
      <c r="C10" s="8" t="s">
        <v>18</v>
      </c>
      <c r="D10" s="8"/>
      <c r="E10" s="8">
        <f>SUM(E7:E9)</f>
        <v>784160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E10" sqref="E1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382</v>
      </c>
      <c r="B3" s="1"/>
      <c r="C3" s="1"/>
      <c r="D3" s="1" t="s">
        <v>383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6486</v>
      </c>
      <c r="B7" s="22" t="s">
        <v>34</v>
      </c>
      <c r="C7" s="7">
        <v>450</v>
      </c>
      <c r="D7" s="7">
        <v>2757</v>
      </c>
      <c r="E7" s="7">
        <f t="shared" ref="E7:E12" si="0">C7*D7</f>
        <v>1240650</v>
      </c>
      <c r="F7" s="7" t="s">
        <v>13</v>
      </c>
    </row>
    <row r="8" spans="1:6">
      <c r="A8" s="7">
        <v>6225</v>
      </c>
      <c r="B8" s="22" t="s">
        <v>384</v>
      </c>
      <c r="C8" s="7">
        <v>450</v>
      </c>
      <c r="D8" s="7">
        <v>2757</v>
      </c>
      <c r="E8" s="7">
        <f t="shared" si="0"/>
        <v>1240650</v>
      </c>
      <c r="F8" s="7" t="s">
        <v>189</v>
      </c>
    </row>
    <row r="9" spans="1:6">
      <c r="A9" s="7">
        <v>6480</v>
      </c>
      <c r="B9" s="22" t="s">
        <v>385</v>
      </c>
      <c r="C9" s="7">
        <v>450</v>
      </c>
      <c r="D9" s="7">
        <v>2757</v>
      </c>
      <c r="E9" s="7">
        <f t="shared" si="0"/>
        <v>1240650</v>
      </c>
      <c r="F9" s="7" t="s">
        <v>189</v>
      </c>
    </row>
    <row r="10" spans="1:6">
      <c r="A10" s="7">
        <v>6451</v>
      </c>
      <c r="B10" s="22" t="s">
        <v>386</v>
      </c>
      <c r="C10" s="7">
        <v>450</v>
      </c>
      <c r="D10" s="7">
        <v>2757</v>
      </c>
      <c r="E10" s="7">
        <f t="shared" si="0"/>
        <v>1240650</v>
      </c>
      <c r="F10" s="7" t="s">
        <v>189</v>
      </c>
    </row>
    <row r="11" spans="1:6">
      <c r="A11" s="7"/>
      <c r="B11" s="22" t="s">
        <v>366</v>
      </c>
      <c r="C11" s="7">
        <v>450</v>
      </c>
      <c r="D11" s="7">
        <v>2757</v>
      </c>
      <c r="E11" s="7">
        <f t="shared" si="0"/>
        <v>1240650</v>
      </c>
      <c r="F11" s="7"/>
    </row>
    <row r="12" spans="1:6">
      <c r="A12" s="7">
        <v>6214</v>
      </c>
      <c r="B12" s="22" t="s">
        <v>193</v>
      </c>
      <c r="C12" s="7">
        <v>518</v>
      </c>
      <c r="D12" s="7">
        <v>2757</v>
      </c>
      <c r="E12" s="7">
        <f t="shared" si="0"/>
        <v>1428126</v>
      </c>
      <c r="F12" s="7" t="s">
        <v>13</v>
      </c>
    </row>
    <row r="13" spans="3:5">
      <c r="C13" s="8" t="s">
        <v>18</v>
      </c>
      <c r="D13" s="8"/>
      <c r="E13" s="8">
        <f>SUM(E7:E12)</f>
        <v>7631376</v>
      </c>
    </row>
  </sheetData>
  <mergeCells count="7">
    <mergeCell ref="A3:C3"/>
    <mergeCell ref="D3:F3"/>
    <mergeCell ref="A4:C4"/>
    <mergeCell ref="D4:F4"/>
    <mergeCell ref="A5:F5"/>
    <mergeCell ref="C13:D13"/>
    <mergeCell ref="A1:F2"/>
  </mergeCells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13" sqref="E13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387</v>
      </c>
      <c r="B3" s="1"/>
      <c r="C3" s="1"/>
      <c r="D3" s="1" t="s">
        <v>383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6412</v>
      </c>
      <c r="B7" s="22" t="s">
        <v>331</v>
      </c>
      <c r="C7" s="7">
        <v>40</v>
      </c>
      <c r="D7" s="7">
        <v>3039</v>
      </c>
      <c r="E7" s="7">
        <f t="shared" ref="E7:E18" si="0">C7*D7</f>
        <v>121560</v>
      </c>
      <c r="F7" s="7" t="s">
        <v>22</v>
      </c>
    </row>
    <row r="8" spans="1:6">
      <c r="A8" s="7">
        <v>6283</v>
      </c>
      <c r="B8" s="22" t="s">
        <v>295</v>
      </c>
      <c r="C8" s="7">
        <v>50</v>
      </c>
      <c r="D8" s="7">
        <v>3039</v>
      </c>
      <c r="E8" s="7">
        <f t="shared" si="0"/>
        <v>151950</v>
      </c>
      <c r="F8" s="7" t="s">
        <v>22</v>
      </c>
    </row>
    <row r="9" spans="1:6">
      <c r="A9" s="7">
        <v>6195</v>
      </c>
      <c r="B9" s="22" t="s">
        <v>192</v>
      </c>
      <c r="C9" s="7">
        <v>600</v>
      </c>
      <c r="D9" s="7">
        <v>3039</v>
      </c>
      <c r="E9" s="7">
        <f t="shared" si="0"/>
        <v>1823400</v>
      </c>
      <c r="F9" s="7" t="s">
        <v>13</v>
      </c>
    </row>
    <row r="10" spans="1:6">
      <c r="A10" s="7">
        <v>6217</v>
      </c>
      <c r="B10" s="22" t="s">
        <v>215</v>
      </c>
      <c r="C10" s="7">
        <v>400</v>
      </c>
      <c r="D10" s="7">
        <v>3039</v>
      </c>
      <c r="E10" s="7">
        <f t="shared" si="0"/>
        <v>1215600</v>
      </c>
      <c r="F10" s="7" t="s">
        <v>13</v>
      </c>
    </row>
    <row r="11" spans="1:6">
      <c r="A11" s="7">
        <v>6189</v>
      </c>
      <c r="B11" s="22" t="s">
        <v>253</v>
      </c>
      <c r="C11" s="7">
        <v>560</v>
      </c>
      <c r="D11" s="7">
        <v>3039</v>
      </c>
      <c r="E11" s="7">
        <f t="shared" si="0"/>
        <v>1701840</v>
      </c>
      <c r="F11" s="7" t="s">
        <v>266</v>
      </c>
    </row>
    <row r="12" spans="1:6">
      <c r="A12" s="7">
        <v>6182</v>
      </c>
      <c r="B12" s="22" t="s">
        <v>214</v>
      </c>
      <c r="C12" s="7">
        <v>560</v>
      </c>
      <c r="D12" s="7">
        <v>3039</v>
      </c>
      <c r="E12" s="7">
        <f t="shared" si="0"/>
        <v>1701840</v>
      </c>
      <c r="F12" s="7" t="s">
        <v>266</v>
      </c>
    </row>
    <row r="13" spans="1:6">
      <c r="A13" s="7">
        <v>6345</v>
      </c>
      <c r="B13" s="22" t="s">
        <v>171</v>
      </c>
      <c r="C13" s="7">
        <v>560</v>
      </c>
      <c r="D13" s="7">
        <v>3039</v>
      </c>
      <c r="E13" s="7">
        <f t="shared" si="0"/>
        <v>1701840</v>
      </c>
      <c r="F13" s="7" t="s">
        <v>13</v>
      </c>
    </row>
    <row r="14" spans="1:6">
      <c r="A14" s="7">
        <v>6273</v>
      </c>
      <c r="B14" s="22" t="s">
        <v>329</v>
      </c>
      <c r="C14" s="7">
        <v>350</v>
      </c>
      <c r="D14" s="7">
        <v>3039</v>
      </c>
      <c r="E14" s="7">
        <f t="shared" si="0"/>
        <v>1063650</v>
      </c>
      <c r="F14" s="7" t="s">
        <v>22</v>
      </c>
    </row>
    <row r="15" spans="1:6">
      <c r="A15" s="7">
        <v>6272</v>
      </c>
      <c r="B15" s="22" t="s">
        <v>288</v>
      </c>
      <c r="C15" s="7">
        <v>350</v>
      </c>
      <c r="D15" s="7">
        <v>3039</v>
      </c>
      <c r="E15" s="7">
        <f t="shared" si="0"/>
        <v>1063650</v>
      </c>
      <c r="F15" s="7" t="s">
        <v>22</v>
      </c>
    </row>
    <row r="16" spans="1:6">
      <c r="A16" s="7">
        <v>6432</v>
      </c>
      <c r="B16" s="22" t="s">
        <v>240</v>
      </c>
      <c r="C16" s="7">
        <v>350</v>
      </c>
      <c r="D16" s="7">
        <v>3039</v>
      </c>
      <c r="E16" s="7">
        <f t="shared" si="0"/>
        <v>1063650</v>
      </c>
      <c r="F16" s="7" t="s">
        <v>78</v>
      </c>
    </row>
    <row r="17" spans="1:6">
      <c r="A17" s="7">
        <v>6274</v>
      </c>
      <c r="B17" s="22" t="s">
        <v>330</v>
      </c>
      <c r="C17" s="7">
        <v>350</v>
      </c>
      <c r="D17" s="7">
        <v>3039</v>
      </c>
      <c r="E17" s="7">
        <f t="shared" si="0"/>
        <v>1063650</v>
      </c>
      <c r="F17" s="7" t="s">
        <v>22</v>
      </c>
    </row>
    <row r="18" spans="1:6">
      <c r="A18" s="7">
        <v>6271</v>
      </c>
      <c r="B18" s="22" t="s">
        <v>287</v>
      </c>
      <c r="C18" s="7">
        <v>350</v>
      </c>
      <c r="D18" s="7">
        <v>3039</v>
      </c>
      <c r="E18" s="7">
        <f t="shared" si="0"/>
        <v>1063650</v>
      </c>
      <c r="F18" s="7" t="s">
        <v>22</v>
      </c>
    </row>
    <row r="19" spans="3:5">
      <c r="C19" s="8" t="s">
        <v>18</v>
      </c>
      <c r="D19" s="8"/>
      <c r="E19" s="8">
        <f>SUM(E7:E18)</f>
        <v>13736280</v>
      </c>
    </row>
  </sheetData>
  <mergeCells count="7">
    <mergeCell ref="A3:C3"/>
    <mergeCell ref="D3:F3"/>
    <mergeCell ref="A4:C4"/>
    <mergeCell ref="D4:F4"/>
    <mergeCell ref="A5:F5"/>
    <mergeCell ref="C19:D19"/>
    <mergeCell ref="A1:F2"/>
  </mergeCells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6" sqref="D6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388</v>
      </c>
      <c r="B3" s="1"/>
      <c r="C3" s="1"/>
      <c r="D3" s="1" t="s">
        <v>383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6460</v>
      </c>
      <c r="B7" s="22" t="s">
        <v>389</v>
      </c>
      <c r="C7" s="7">
        <v>450</v>
      </c>
      <c r="D7" s="7">
        <v>2757</v>
      </c>
      <c r="E7" s="7">
        <f t="shared" ref="E7" si="0">C7*D7</f>
        <v>1240650</v>
      </c>
      <c r="F7" s="7" t="s">
        <v>13</v>
      </c>
    </row>
    <row r="8" spans="3:5">
      <c r="C8" s="8" t="s">
        <v>18</v>
      </c>
      <c r="D8" s="8"/>
      <c r="E8" s="8">
        <f>SUM(E7:E7)</f>
        <v>1240650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7" sqref="C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390</v>
      </c>
      <c r="B3" s="1"/>
      <c r="C3" s="1"/>
      <c r="D3" s="1" t="s">
        <v>383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/>
      <c r="B7" s="22" t="s">
        <v>39</v>
      </c>
      <c r="C7" s="7">
        <v>30</v>
      </c>
      <c r="D7" s="7">
        <v>2704</v>
      </c>
      <c r="E7" s="7">
        <f t="shared" ref="E7:E8" si="0">C7*D7</f>
        <v>81120</v>
      </c>
      <c r="F7" s="7"/>
    </row>
    <row r="8" spans="1:6">
      <c r="A8" s="7"/>
      <c r="B8" s="22" t="s">
        <v>163</v>
      </c>
      <c r="C8" s="7">
        <v>30</v>
      </c>
      <c r="D8" s="7">
        <v>2704</v>
      </c>
      <c r="E8" s="7">
        <f t="shared" si="0"/>
        <v>81120</v>
      </c>
      <c r="F8" s="7"/>
    </row>
    <row r="9" spans="3:5">
      <c r="C9" s="8" t="s">
        <v>18</v>
      </c>
      <c r="D9" s="8"/>
      <c r="E9" s="8">
        <f>SUM(E7:E8)</f>
        <v>162240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7" sqref="D7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391</v>
      </c>
      <c r="B3" s="1"/>
      <c r="C3" s="1"/>
      <c r="D3" s="1" t="s">
        <v>392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6464</v>
      </c>
      <c r="B7" s="22" t="s">
        <v>393</v>
      </c>
      <c r="C7" s="7">
        <v>450</v>
      </c>
      <c r="D7" s="7">
        <v>2757</v>
      </c>
      <c r="E7" s="7">
        <f t="shared" ref="E7:E10" si="0">C7*D7</f>
        <v>1240650</v>
      </c>
      <c r="F7" s="7" t="s">
        <v>13</v>
      </c>
    </row>
    <row r="8" spans="1:6">
      <c r="A8" s="7">
        <v>6459</v>
      </c>
      <c r="B8" s="22" t="s">
        <v>394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6398</v>
      </c>
      <c r="B9" s="22" t="s">
        <v>395</v>
      </c>
      <c r="C9" s="7">
        <v>450</v>
      </c>
      <c r="D9" s="7">
        <v>2757</v>
      </c>
      <c r="E9" s="7">
        <f t="shared" si="0"/>
        <v>1240650</v>
      </c>
      <c r="F9" s="7" t="s">
        <v>189</v>
      </c>
    </row>
    <row r="10" spans="1:6">
      <c r="A10" s="7">
        <v>6479</v>
      </c>
      <c r="B10" s="22" t="s">
        <v>30</v>
      </c>
      <c r="C10" s="7">
        <v>450</v>
      </c>
      <c r="D10" s="7">
        <v>2757</v>
      </c>
      <c r="E10" s="7">
        <f t="shared" si="0"/>
        <v>1240650</v>
      </c>
      <c r="F10" s="7" t="s">
        <v>13</v>
      </c>
    </row>
    <row r="11" spans="3:5">
      <c r="C11" s="8" t="s">
        <v>18</v>
      </c>
      <c r="D11" s="8"/>
      <c r="E11" s="8">
        <f>SUM(E7:E10)</f>
        <v>4962600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E16" sqref="E16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396</v>
      </c>
      <c r="B3" s="1"/>
      <c r="C3" s="1"/>
      <c r="D3" s="1" t="s">
        <v>392</v>
      </c>
      <c r="E3" s="1"/>
      <c r="F3" s="1"/>
    </row>
    <row r="4" spans="1:6">
      <c r="A4" s="2" t="s">
        <v>56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6547</v>
      </c>
      <c r="B7" s="22" t="s">
        <v>37</v>
      </c>
      <c r="C7" s="7">
        <v>380</v>
      </c>
      <c r="D7" s="7">
        <v>2710</v>
      </c>
      <c r="E7" s="7">
        <f t="shared" ref="E7:E19" si="0">C7*D7</f>
        <v>1029800</v>
      </c>
      <c r="F7" s="7"/>
    </row>
    <row r="8" spans="1:6">
      <c r="A8" s="7">
        <v>6581</v>
      </c>
      <c r="B8" s="22" t="s">
        <v>163</v>
      </c>
      <c r="C8" s="7">
        <v>380</v>
      </c>
      <c r="D8" s="7">
        <v>2710</v>
      </c>
      <c r="E8" s="7">
        <f t="shared" si="0"/>
        <v>1029800</v>
      </c>
      <c r="F8" s="7"/>
    </row>
    <row r="9" spans="1:6">
      <c r="A9" s="7">
        <v>6168</v>
      </c>
      <c r="B9" s="22" t="s">
        <v>369</v>
      </c>
      <c r="C9" s="7">
        <v>380</v>
      </c>
      <c r="D9" s="7">
        <v>2710</v>
      </c>
      <c r="E9" s="7">
        <f t="shared" si="0"/>
        <v>1029800</v>
      </c>
      <c r="F9" s="7" t="s">
        <v>266</v>
      </c>
    </row>
    <row r="10" spans="1:6">
      <c r="A10" s="7">
        <v>6484</v>
      </c>
      <c r="B10" s="22" t="s">
        <v>370</v>
      </c>
      <c r="C10" s="7">
        <v>380</v>
      </c>
      <c r="D10" s="7">
        <v>2710</v>
      </c>
      <c r="E10" s="7">
        <f t="shared" si="0"/>
        <v>1029800</v>
      </c>
      <c r="F10" s="7" t="s">
        <v>13</v>
      </c>
    </row>
    <row r="11" spans="1:6">
      <c r="A11" s="7">
        <v>6479</v>
      </c>
      <c r="B11" s="22" t="s">
        <v>30</v>
      </c>
      <c r="C11" s="7">
        <v>380</v>
      </c>
      <c r="D11" s="7">
        <v>2710</v>
      </c>
      <c r="E11" s="7">
        <f t="shared" si="0"/>
        <v>1029800</v>
      </c>
      <c r="F11" s="7" t="s">
        <v>13</v>
      </c>
    </row>
    <row r="12" spans="1:6">
      <c r="A12" s="7">
        <v>6472</v>
      </c>
      <c r="B12" s="22" t="s">
        <v>371</v>
      </c>
      <c r="C12" s="7">
        <v>380</v>
      </c>
      <c r="D12" s="7">
        <v>2710</v>
      </c>
      <c r="E12" s="7">
        <f t="shared" si="0"/>
        <v>1029800</v>
      </c>
      <c r="F12" s="7" t="s">
        <v>13</v>
      </c>
    </row>
    <row r="13" spans="1:6">
      <c r="A13" s="7">
        <v>6489</v>
      </c>
      <c r="B13" s="22" t="s">
        <v>41</v>
      </c>
      <c r="C13" s="7">
        <v>380</v>
      </c>
      <c r="D13" s="7">
        <v>2710</v>
      </c>
      <c r="E13" s="7">
        <f t="shared" si="0"/>
        <v>1029800</v>
      </c>
      <c r="F13" s="7" t="s">
        <v>13</v>
      </c>
    </row>
    <row r="14" spans="1:6">
      <c r="A14" s="7">
        <v>6477</v>
      </c>
      <c r="B14" s="22" t="s">
        <v>31</v>
      </c>
      <c r="C14" s="7">
        <v>380</v>
      </c>
      <c r="D14" s="7">
        <v>2710</v>
      </c>
      <c r="E14" s="7">
        <f t="shared" si="0"/>
        <v>1029800</v>
      </c>
      <c r="F14" s="7" t="s">
        <v>13</v>
      </c>
    </row>
    <row r="15" spans="1:6">
      <c r="A15" s="7">
        <v>6482</v>
      </c>
      <c r="B15" s="22" t="s">
        <v>32</v>
      </c>
      <c r="C15" s="7">
        <v>380</v>
      </c>
      <c r="D15" s="7">
        <v>2710</v>
      </c>
      <c r="E15" s="7">
        <f t="shared" si="0"/>
        <v>1029800</v>
      </c>
      <c r="F15" s="7" t="s">
        <v>13</v>
      </c>
    </row>
    <row r="16" spans="1:6">
      <c r="A16" s="7">
        <v>6483</v>
      </c>
      <c r="B16" s="22" t="s">
        <v>25</v>
      </c>
      <c r="C16" s="7">
        <v>380</v>
      </c>
      <c r="D16" s="7">
        <v>2710</v>
      </c>
      <c r="E16" s="7">
        <f t="shared" si="0"/>
        <v>1029800</v>
      </c>
      <c r="F16" s="7" t="s">
        <v>13</v>
      </c>
    </row>
    <row r="17" spans="1:6">
      <c r="A17" s="7">
        <v>6582</v>
      </c>
      <c r="B17" s="22" t="s">
        <v>39</v>
      </c>
      <c r="C17" s="7">
        <v>380</v>
      </c>
      <c r="D17" s="7">
        <v>2710</v>
      </c>
      <c r="E17" s="7">
        <f t="shared" si="0"/>
        <v>1029800</v>
      </c>
      <c r="F17" s="7"/>
    </row>
    <row r="18" spans="1:6">
      <c r="A18" s="7">
        <v>6485</v>
      </c>
      <c r="B18" s="22" t="s">
        <v>27</v>
      </c>
      <c r="C18" s="7">
        <v>380</v>
      </c>
      <c r="D18" s="7">
        <v>2710</v>
      </c>
      <c r="E18" s="7">
        <f t="shared" si="0"/>
        <v>1029800</v>
      </c>
      <c r="F18" s="7" t="s">
        <v>13</v>
      </c>
    </row>
    <row r="19" spans="1:6">
      <c r="A19" s="7">
        <v>6488</v>
      </c>
      <c r="B19" s="22" t="s">
        <v>42</v>
      </c>
      <c r="C19" s="7">
        <v>380</v>
      </c>
      <c r="D19" s="7">
        <v>2710</v>
      </c>
      <c r="E19" s="7">
        <f t="shared" si="0"/>
        <v>1029800</v>
      </c>
      <c r="F19" s="7" t="s">
        <v>13</v>
      </c>
    </row>
    <row r="20" spans="3:5">
      <c r="C20" s="8" t="s">
        <v>18</v>
      </c>
      <c r="D20" s="8"/>
      <c r="E20" s="8">
        <f>SUM(E7:E19)</f>
        <v>13387400</v>
      </c>
    </row>
  </sheetData>
  <mergeCells count="7">
    <mergeCell ref="A3:C3"/>
    <mergeCell ref="D3:F3"/>
    <mergeCell ref="A4:C4"/>
    <mergeCell ref="D4:F4"/>
    <mergeCell ref="A5:F5"/>
    <mergeCell ref="C20:D20"/>
    <mergeCell ref="A1:F2"/>
  </mergeCells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3" workbookViewId="0">
      <selection activeCell="D19" sqref="D19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397</v>
      </c>
      <c r="B3" s="1"/>
      <c r="C3" s="1"/>
      <c r="D3" s="1" t="s">
        <v>392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6358</v>
      </c>
      <c r="B7" s="22" t="s">
        <v>157</v>
      </c>
      <c r="C7" s="7">
        <v>100</v>
      </c>
      <c r="D7" s="7">
        <v>2875</v>
      </c>
      <c r="E7" s="7">
        <f t="shared" ref="E7:E26" si="0">C7*D7</f>
        <v>287500</v>
      </c>
      <c r="F7" s="7" t="s">
        <v>22</v>
      </c>
    </row>
    <row r="8" spans="1:6">
      <c r="A8" s="7">
        <v>6359</v>
      </c>
      <c r="B8" s="22" t="s">
        <v>152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6430</v>
      </c>
      <c r="B9" s="22" t="s">
        <v>293</v>
      </c>
      <c r="C9" s="7">
        <v>100</v>
      </c>
      <c r="D9" s="7">
        <v>2875</v>
      </c>
      <c r="E9" s="7">
        <f t="shared" si="0"/>
        <v>287500</v>
      </c>
      <c r="F9" s="7" t="s">
        <v>78</v>
      </c>
    </row>
    <row r="10" spans="1:6">
      <c r="A10" s="48">
        <v>6426</v>
      </c>
      <c r="B10" s="22" t="s">
        <v>346</v>
      </c>
      <c r="C10" s="7">
        <v>100</v>
      </c>
      <c r="D10" s="7">
        <v>2875</v>
      </c>
      <c r="E10" s="7">
        <f t="shared" si="0"/>
        <v>287500</v>
      </c>
      <c r="F10" s="7" t="s">
        <v>78</v>
      </c>
    </row>
    <row r="11" spans="1:6">
      <c r="A11" s="7">
        <v>6387</v>
      </c>
      <c r="B11" s="22" t="s">
        <v>241</v>
      </c>
      <c r="C11" s="7">
        <v>100</v>
      </c>
      <c r="D11" s="7">
        <v>2875</v>
      </c>
      <c r="E11" s="7">
        <f t="shared" si="0"/>
        <v>287500</v>
      </c>
      <c r="F11" s="7" t="s">
        <v>22</v>
      </c>
    </row>
    <row r="12" spans="1:6">
      <c r="A12" s="7">
        <v>6276</v>
      </c>
      <c r="B12" s="22" t="s">
        <v>290</v>
      </c>
      <c r="C12" s="7">
        <v>100</v>
      </c>
      <c r="D12" s="7">
        <v>2875</v>
      </c>
      <c r="E12" s="7">
        <f t="shared" si="0"/>
        <v>287500</v>
      </c>
      <c r="F12" s="7" t="s">
        <v>22</v>
      </c>
    </row>
    <row r="13" spans="1:6">
      <c r="A13" s="7">
        <v>6169</v>
      </c>
      <c r="B13" s="22" t="s">
        <v>285</v>
      </c>
      <c r="C13" s="7">
        <v>100</v>
      </c>
      <c r="D13" s="7">
        <v>2875</v>
      </c>
      <c r="E13" s="7">
        <f t="shared" si="0"/>
        <v>287500</v>
      </c>
      <c r="F13" s="7" t="s">
        <v>22</v>
      </c>
    </row>
    <row r="14" spans="1:6">
      <c r="A14" s="7">
        <v>6281</v>
      </c>
      <c r="B14" s="22" t="s">
        <v>283</v>
      </c>
      <c r="C14" s="7">
        <v>100</v>
      </c>
      <c r="D14" s="7">
        <v>2875</v>
      </c>
      <c r="E14" s="7">
        <f t="shared" si="0"/>
        <v>287500</v>
      </c>
      <c r="F14" s="7" t="s">
        <v>22</v>
      </c>
    </row>
    <row r="15" spans="1:6">
      <c r="A15" s="7">
        <v>6278</v>
      </c>
      <c r="B15" s="22" t="s">
        <v>282</v>
      </c>
      <c r="C15" s="7">
        <v>100</v>
      </c>
      <c r="D15" s="7">
        <v>2875</v>
      </c>
      <c r="E15" s="7">
        <f t="shared" si="0"/>
        <v>287500</v>
      </c>
      <c r="F15" s="7" t="s">
        <v>22</v>
      </c>
    </row>
    <row r="16" spans="1:6">
      <c r="A16" s="7">
        <v>6279</v>
      </c>
      <c r="B16" s="22" t="s">
        <v>292</v>
      </c>
      <c r="C16" s="7">
        <v>100</v>
      </c>
      <c r="D16" s="7">
        <v>2875</v>
      </c>
      <c r="E16" s="7">
        <f t="shared" si="0"/>
        <v>287500</v>
      </c>
      <c r="F16" s="7" t="s">
        <v>22</v>
      </c>
    </row>
    <row r="17" spans="1:6">
      <c r="A17" s="7">
        <v>6277</v>
      </c>
      <c r="B17" s="22" t="s">
        <v>291</v>
      </c>
      <c r="C17" s="7">
        <v>100</v>
      </c>
      <c r="D17" s="7">
        <v>2875</v>
      </c>
      <c r="E17" s="7">
        <f t="shared" si="0"/>
        <v>287500</v>
      </c>
      <c r="F17" s="7" t="s">
        <v>22</v>
      </c>
    </row>
    <row r="18" spans="1:6">
      <c r="A18" s="7">
        <v>6270</v>
      </c>
      <c r="B18" s="22" t="s">
        <v>286</v>
      </c>
      <c r="C18" s="7">
        <v>100</v>
      </c>
      <c r="D18" s="7">
        <v>2875</v>
      </c>
      <c r="E18" s="7">
        <f t="shared" si="0"/>
        <v>287500</v>
      </c>
      <c r="F18" s="7" t="s">
        <v>22</v>
      </c>
    </row>
    <row r="19" spans="1:6">
      <c r="A19" s="7">
        <v>6432</v>
      </c>
      <c r="B19" s="22" t="s">
        <v>240</v>
      </c>
      <c r="C19" s="7">
        <v>100</v>
      </c>
      <c r="D19" s="7">
        <v>2875</v>
      </c>
      <c r="E19" s="7">
        <f t="shared" si="0"/>
        <v>287500</v>
      </c>
      <c r="F19" s="7" t="s">
        <v>78</v>
      </c>
    </row>
    <row r="20" spans="1:6">
      <c r="A20" s="7">
        <v>6273</v>
      </c>
      <c r="B20" s="22" t="s">
        <v>329</v>
      </c>
      <c r="C20" s="7">
        <v>100</v>
      </c>
      <c r="D20" s="7">
        <v>2875</v>
      </c>
      <c r="E20" s="7">
        <f t="shared" si="0"/>
        <v>287500</v>
      </c>
      <c r="F20" s="7" t="s">
        <v>22</v>
      </c>
    </row>
    <row r="21" spans="1:6">
      <c r="A21" s="7">
        <v>6271</v>
      </c>
      <c r="B21" s="22" t="s">
        <v>287</v>
      </c>
      <c r="C21" s="7">
        <v>100</v>
      </c>
      <c r="D21" s="7">
        <v>2875</v>
      </c>
      <c r="E21" s="7">
        <f t="shared" si="0"/>
        <v>287500</v>
      </c>
      <c r="F21" s="7" t="s">
        <v>22</v>
      </c>
    </row>
    <row r="22" spans="1:6">
      <c r="A22" s="7">
        <v>6272</v>
      </c>
      <c r="B22" s="22" t="s">
        <v>288</v>
      </c>
      <c r="C22" s="7">
        <v>100</v>
      </c>
      <c r="D22" s="7">
        <v>2875</v>
      </c>
      <c r="E22" s="7">
        <f t="shared" si="0"/>
        <v>287500</v>
      </c>
      <c r="F22" s="7" t="s">
        <v>22</v>
      </c>
    </row>
    <row r="23" spans="1:6">
      <c r="A23" s="7">
        <v>6274</v>
      </c>
      <c r="B23" s="22" t="s">
        <v>330</v>
      </c>
      <c r="C23" s="7">
        <v>100</v>
      </c>
      <c r="D23" s="7">
        <v>2875</v>
      </c>
      <c r="E23" s="7">
        <f t="shared" si="0"/>
        <v>287500</v>
      </c>
      <c r="F23" s="7" t="s">
        <v>22</v>
      </c>
    </row>
    <row r="24" spans="1:6">
      <c r="A24" s="7">
        <v>6275</v>
      </c>
      <c r="B24" s="22" t="s">
        <v>289</v>
      </c>
      <c r="C24" s="7">
        <v>100</v>
      </c>
      <c r="D24" s="7">
        <v>2875</v>
      </c>
      <c r="E24" s="7">
        <f t="shared" si="0"/>
        <v>287500</v>
      </c>
      <c r="F24" s="7" t="s">
        <v>22</v>
      </c>
    </row>
    <row r="25" spans="1:6">
      <c r="A25" s="7">
        <v>6268</v>
      </c>
      <c r="B25" s="22" t="s">
        <v>284</v>
      </c>
      <c r="C25" s="7">
        <v>100</v>
      </c>
      <c r="D25" s="7">
        <v>2875</v>
      </c>
      <c r="E25" s="7">
        <f t="shared" si="0"/>
        <v>287500</v>
      </c>
      <c r="F25" s="7" t="s">
        <v>22</v>
      </c>
    </row>
    <row r="26" spans="1:6">
      <c r="A26" s="7">
        <v>6326</v>
      </c>
      <c r="B26" s="22" t="s">
        <v>238</v>
      </c>
      <c r="C26" s="7">
        <v>100</v>
      </c>
      <c r="D26" s="7">
        <v>2875</v>
      </c>
      <c r="E26" s="7">
        <f t="shared" si="0"/>
        <v>287500</v>
      </c>
      <c r="F26" s="7" t="s">
        <v>22</v>
      </c>
    </row>
    <row r="27" spans="3:5">
      <c r="C27" s="7" t="s">
        <v>18</v>
      </c>
      <c r="D27" s="7"/>
      <c r="E27" s="7">
        <f>SUM(E7:E26)</f>
        <v>5750000</v>
      </c>
    </row>
  </sheetData>
  <mergeCells count="7">
    <mergeCell ref="A3:C3"/>
    <mergeCell ref="D3:F3"/>
    <mergeCell ref="A4:C4"/>
    <mergeCell ref="D4:F4"/>
    <mergeCell ref="A5:F5"/>
    <mergeCell ref="C27:D27"/>
    <mergeCell ref="A1:F2"/>
  </mergeCells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E19" sqref="E19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398</v>
      </c>
      <c r="B3" s="1"/>
      <c r="C3" s="1"/>
      <c r="D3" s="1" t="s">
        <v>392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6361</v>
      </c>
      <c r="B7" s="22" t="s">
        <v>351</v>
      </c>
      <c r="C7" s="7">
        <v>100</v>
      </c>
      <c r="D7" s="7">
        <v>2875</v>
      </c>
      <c r="E7" s="7">
        <f t="shared" ref="E7:E21" si="0">C7*D7</f>
        <v>287500</v>
      </c>
      <c r="F7" s="7" t="s">
        <v>22</v>
      </c>
    </row>
    <row r="8" spans="1:6">
      <c r="A8" s="7">
        <v>6362</v>
      </c>
      <c r="B8" s="22" t="s">
        <v>348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6363</v>
      </c>
      <c r="B9" s="22" t="s">
        <v>349</v>
      </c>
      <c r="C9" s="7">
        <v>100</v>
      </c>
      <c r="D9" s="7">
        <v>2875</v>
      </c>
      <c r="E9" s="7">
        <f t="shared" si="0"/>
        <v>287500</v>
      </c>
      <c r="F9" s="7" t="s">
        <v>22</v>
      </c>
    </row>
    <row r="10" spans="1:6">
      <c r="A10" s="7">
        <v>6325</v>
      </c>
      <c r="B10" s="22" t="s">
        <v>237</v>
      </c>
      <c r="C10" s="7">
        <v>100</v>
      </c>
      <c r="D10" s="7">
        <v>2875</v>
      </c>
      <c r="E10" s="7">
        <f t="shared" si="0"/>
        <v>287500</v>
      </c>
      <c r="F10" s="7" t="s">
        <v>22</v>
      </c>
    </row>
    <row r="11" spans="1:6">
      <c r="A11" s="7">
        <v>6283</v>
      </c>
      <c r="B11" s="22" t="s">
        <v>295</v>
      </c>
      <c r="C11" s="7">
        <v>100</v>
      </c>
      <c r="D11" s="7">
        <v>2875</v>
      </c>
      <c r="E11" s="7">
        <f t="shared" si="0"/>
        <v>287500</v>
      </c>
      <c r="F11" s="7" t="s">
        <v>22</v>
      </c>
    </row>
    <row r="12" spans="1:6">
      <c r="A12" s="7">
        <v>6412</v>
      </c>
      <c r="B12" s="22" t="s">
        <v>331</v>
      </c>
      <c r="C12" s="7">
        <v>100</v>
      </c>
      <c r="D12" s="7">
        <v>2875</v>
      </c>
      <c r="E12" s="7">
        <f t="shared" si="0"/>
        <v>287500</v>
      </c>
      <c r="F12" s="7" t="s">
        <v>22</v>
      </c>
    </row>
    <row r="13" spans="1:6">
      <c r="A13" s="7">
        <v>6318</v>
      </c>
      <c r="B13" s="22" t="s">
        <v>242</v>
      </c>
      <c r="C13" s="7">
        <v>100</v>
      </c>
      <c r="D13" s="7">
        <v>2875</v>
      </c>
      <c r="E13" s="7">
        <f t="shared" si="0"/>
        <v>287500</v>
      </c>
      <c r="F13" s="7" t="s">
        <v>22</v>
      </c>
    </row>
    <row r="14" spans="1:6">
      <c r="A14" s="7">
        <v>6316</v>
      </c>
      <c r="B14" s="22" t="s">
        <v>243</v>
      </c>
      <c r="C14" s="7">
        <v>100</v>
      </c>
      <c r="D14" s="7">
        <v>2875</v>
      </c>
      <c r="E14" s="7">
        <f t="shared" si="0"/>
        <v>287500</v>
      </c>
      <c r="F14" s="7" t="s">
        <v>22</v>
      </c>
    </row>
    <row r="15" spans="1:6">
      <c r="A15" s="7">
        <v>6319</v>
      </c>
      <c r="B15" s="22" t="s">
        <v>244</v>
      </c>
      <c r="C15" s="7">
        <v>100</v>
      </c>
      <c r="D15" s="7">
        <v>2875</v>
      </c>
      <c r="E15" s="7">
        <f t="shared" si="0"/>
        <v>287500</v>
      </c>
      <c r="F15" s="7" t="s">
        <v>22</v>
      </c>
    </row>
    <row r="16" spans="1:6">
      <c r="A16" s="7">
        <v>6516</v>
      </c>
      <c r="B16" s="22" t="s">
        <v>336</v>
      </c>
      <c r="C16" s="7">
        <v>100</v>
      </c>
      <c r="D16" s="7">
        <v>2875</v>
      </c>
      <c r="E16" s="7">
        <f t="shared" si="0"/>
        <v>287500</v>
      </c>
      <c r="F16" s="7" t="s">
        <v>22</v>
      </c>
    </row>
    <row r="17" spans="1:6">
      <c r="A17" s="7">
        <v>6518</v>
      </c>
      <c r="B17" s="22" t="s">
        <v>335</v>
      </c>
      <c r="C17" s="7">
        <v>100</v>
      </c>
      <c r="D17" s="7">
        <v>2875</v>
      </c>
      <c r="E17" s="7">
        <f t="shared" si="0"/>
        <v>287500</v>
      </c>
      <c r="F17" s="7" t="s">
        <v>22</v>
      </c>
    </row>
    <row r="18" spans="1:6">
      <c r="A18" s="7">
        <v>6512</v>
      </c>
      <c r="B18" s="22" t="s">
        <v>334</v>
      </c>
      <c r="C18" s="7">
        <v>100</v>
      </c>
      <c r="D18" s="7">
        <v>2875</v>
      </c>
      <c r="E18" s="7">
        <f t="shared" si="0"/>
        <v>287500</v>
      </c>
      <c r="F18" s="7" t="s">
        <v>22</v>
      </c>
    </row>
    <row r="19" spans="1:6">
      <c r="A19" s="7">
        <v>6515</v>
      </c>
      <c r="B19" s="22" t="s">
        <v>333</v>
      </c>
      <c r="C19" s="7">
        <v>100</v>
      </c>
      <c r="D19" s="7">
        <v>2875</v>
      </c>
      <c r="E19" s="7">
        <f t="shared" si="0"/>
        <v>287500</v>
      </c>
      <c r="F19" s="7" t="s">
        <v>22</v>
      </c>
    </row>
    <row r="20" spans="1:6">
      <c r="A20" s="7">
        <v>6517</v>
      </c>
      <c r="B20" s="22" t="s">
        <v>332</v>
      </c>
      <c r="C20" s="7">
        <v>100</v>
      </c>
      <c r="D20" s="7">
        <v>2875</v>
      </c>
      <c r="E20" s="7">
        <f t="shared" si="0"/>
        <v>287500</v>
      </c>
      <c r="F20" s="7" t="s">
        <v>22</v>
      </c>
    </row>
    <row r="21" spans="1:6">
      <c r="A21" s="7">
        <v>6380</v>
      </c>
      <c r="B21" s="22" t="s">
        <v>245</v>
      </c>
      <c r="C21" s="7">
        <v>100</v>
      </c>
      <c r="D21" s="7">
        <v>2875</v>
      </c>
      <c r="E21" s="7">
        <f t="shared" si="0"/>
        <v>287500</v>
      </c>
      <c r="F21" s="7" t="s">
        <v>22</v>
      </c>
    </row>
    <row r="22" spans="3:5">
      <c r="C22" s="7" t="s">
        <v>18</v>
      </c>
      <c r="D22" s="7"/>
      <c r="E22" s="7">
        <f>SUM(E7:E21)</f>
        <v>4312500</v>
      </c>
    </row>
  </sheetData>
  <mergeCells count="7">
    <mergeCell ref="A3:C3"/>
    <mergeCell ref="D3:F3"/>
    <mergeCell ref="A4:C4"/>
    <mergeCell ref="D4:F4"/>
    <mergeCell ref="A5:F5"/>
    <mergeCell ref="C22:D22"/>
    <mergeCell ref="A1:F2"/>
  </mergeCells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4" workbookViewId="0">
      <selection activeCell="F20" sqref="F2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399</v>
      </c>
      <c r="B3" s="1"/>
      <c r="C3" s="1"/>
      <c r="D3" s="1" t="s">
        <v>392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6358</v>
      </c>
      <c r="B7" s="22" t="s">
        <v>157</v>
      </c>
      <c r="C7" s="7">
        <v>400</v>
      </c>
      <c r="D7" s="7">
        <v>2757</v>
      </c>
      <c r="E7" s="7">
        <f t="shared" ref="E7:E26" si="0">C7*D7</f>
        <v>1102800</v>
      </c>
      <c r="F7" s="7" t="s">
        <v>22</v>
      </c>
    </row>
    <row r="8" spans="1:6">
      <c r="A8" s="7">
        <v>6359</v>
      </c>
      <c r="B8" s="22" t="s">
        <v>152</v>
      </c>
      <c r="C8" s="7">
        <v>400</v>
      </c>
      <c r="D8" s="7">
        <v>2757</v>
      </c>
      <c r="E8" s="7">
        <f t="shared" si="0"/>
        <v>1102800</v>
      </c>
      <c r="F8" s="7" t="s">
        <v>22</v>
      </c>
    </row>
    <row r="9" spans="1:6">
      <c r="A9" s="7">
        <v>6430</v>
      </c>
      <c r="B9" s="22" t="s">
        <v>293</v>
      </c>
      <c r="C9" s="7">
        <v>400</v>
      </c>
      <c r="D9" s="7">
        <v>2757</v>
      </c>
      <c r="E9" s="7">
        <f t="shared" si="0"/>
        <v>1102800</v>
      </c>
      <c r="F9" s="7" t="s">
        <v>78</v>
      </c>
    </row>
    <row r="10" spans="1:6">
      <c r="A10" s="48">
        <v>6426</v>
      </c>
      <c r="B10" s="22" t="s">
        <v>346</v>
      </c>
      <c r="C10" s="7">
        <v>400</v>
      </c>
      <c r="D10" s="7">
        <v>2757</v>
      </c>
      <c r="E10" s="7">
        <f t="shared" si="0"/>
        <v>1102800</v>
      </c>
      <c r="F10" s="7" t="s">
        <v>78</v>
      </c>
    </row>
    <row r="11" spans="1:6">
      <c r="A11" s="7">
        <v>6387</v>
      </c>
      <c r="B11" s="22" t="s">
        <v>241</v>
      </c>
      <c r="C11" s="7">
        <v>400</v>
      </c>
      <c r="D11" s="7">
        <v>2757</v>
      </c>
      <c r="E11" s="7">
        <f t="shared" si="0"/>
        <v>1102800</v>
      </c>
      <c r="F11" s="7" t="s">
        <v>22</v>
      </c>
    </row>
    <row r="12" spans="1:6">
      <c r="A12" s="7">
        <v>6276</v>
      </c>
      <c r="B12" s="22" t="s">
        <v>290</v>
      </c>
      <c r="C12" s="7">
        <v>400</v>
      </c>
      <c r="D12" s="7">
        <v>2757</v>
      </c>
      <c r="E12" s="7">
        <f t="shared" si="0"/>
        <v>1102800</v>
      </c>
      <c r="F12" s="7" t="s">
        <v>22</v>
      </c>
    </row>
    <row r="13" spans="1:6">
      <c r="A13" s="7">
        <v>6169</v>
      </c>
      <c r="B13" s="22" t="s">
        <v>285</v>
      </c>
      <c r="C13" s="7">
        <v>400</v>
      </c>
      <c r="D13" s="7">
        <v>2757</v>
      </c>
      <c r="E13" s="7">
        <f t="shared" si="0"/>
        <v>1102800</v>
      </c>
      <c r="F13" s="7" t="s">
        <v>22</v>
      </c>
    </row>
    <row r="14" spans="1:6">
      <c r="A14" s="7">
        <v>6281</v>
      </c>
      <c r="B14" s="22" t="s">
        <v>283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1:6">
      <c r="A15" s="7">
        <v>6278</v>
      </c>
      <c r="B15" s="22" t="s">
        <v>282</v>
      </c>
      <c r="C15" s="7">
        <v>400</v>
      </c>
      <c r="D15" s="7">
        <v>2757</v>
      </c>
      <c r="E15" s="7">
        <f t="shared" si="0"/>
        <v>1102800</v>
      </c>
      <c r="F15" s="7" t="s">
        <v>22</v>
      </c>
    </row>
    <row r="16" spans="1:6">
      <c r="A16" s="7">
        <v>6279</v>
      </c>
      <c r="B16" s="22" t="s">
        <v>292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1:6">
      <c r="A17" s="7">
        <v>6277</v>
      </c>
      <c r="B17" s="22" t="s">
        <v>291</v>
      </c>
      <c r="C17" s="7">
        <v>400</v>
      </c>
      <c r="D17" s="7">
        <v>2757</v>
      </c>
      <c r="E17" s="7">
        <f t="shared" si="0"/>
        <v>1102800</v>
      </c>
      <c r="F17" s="7" t="s">
        <v>22</v>
      </c>
    </row>
    <row r="18" spans="1:6">
      <c r="A18" s="7">
        <v>6270</v>
      </c>
      <c r="B18" s="22" t="s">
        <v>286</v>
      </c>
      <c r="C18" s="7">
        <v>400</v>
      </c>
      <c r="D18" s="7">
        <v>2757</v>
      </c>
      <c r="E18" s="7">
        <f t="shared" si="0"/>
        <v>1102800</v>
      </c>
      <c r="F18" s="7" t="s">
        <v>22</v>
      </c>
    </row>
    <row r="19" spans="1:6">
      <c r="A19" s="7">
        <v>6432</v>
      </c>
      <c r="B19" s="22" t="s">
        <v>240</v>
      </c>
      <c r="C19" s="7">
        <v>400</v>
      </c>
      <c r="D19" s="7">
        <v>2757</v>
      </c>
      <c r="E19" s="7">
        <f t="shared" si="0"/>
        <v>1102800</v>
      </c>
      <c r="F19" s="7" t="s">
        <v>78</v>
      </c>
    </row>
    <row r="20" spans="1:6">
      <c r="A20" s="7">
        <v>6273</v>
      </c>
      <c r="B20" s="22" t="s">
        <v>329</v>
      </c>
      <c r="C20" s="7">
        <v>400</v>
      </c>
      <c r="D20" s="7">
        <v>2757</v>
      </c>
      <c r="E20" s="7">
        <f t="shared" si="0"/>
        <v>1102800</v>
      </c>
      <c r="F20" s="7" t="s">
        <v>22</v>
      </c>
    </row>
    <row r="21" spans="1:6">
      <c r="A21" s="7">
        <v>6271</v>
      </c>
      <c r="B21" s="22" t="s">
        <v>287</v>
      </c>
      <c r="C21" s="7">
        <v>400</v>
      </c>
      <c r="D21" s="7">
        <v>2757</v>
      </c>
      <c r="E21" s="7">
        <f t="shared" si="0"/>
        <v>1102800</v>
      </c>
      <c r="F21" s="7" t="s">
        <v>22</v>
      </c>
    </row>
    <row r="22" spans="1:6">
      <c r="A22" s="7">
        <v>6272</v>
      </c>
      <c r="B22" s="22" t="s">
        <v>288</v>
      </c>
      <c r="C22" s="7">
        <v>400</v>
      </c>
      <c r="D22" s="7">
        <v>2757</v>
      </c>
      <c r="E22" s="7">
        <f t="shared" si="0"/>
        <v>1102800</v>
      </c>
      <c r="F22" s="7" t="s">
        <v>22</v>
      </c>
    </row>
    <row r="23" spans="1:6">
      <c r="A23" s="7">
        <v>6274</v>
      </c>
      <c r="B23" s="22" t="s">
        <v>330</v>
      </c>
      <c r="C23" s="7">
        <v>400</v>
      </c>
      <c r="D23" s="7">
        <v>2757</v>
      </c>
      <c r="E23" s="7">
        <f t="shared" si="0"/>
        <v>1102800</v>
      </c>
      <c r="F23" s="7" t="s">
        <v>22</v>
      </c>
    </row>
    <row r="24" spans="1:6">
      <c r="A24" s="7">
        <v>6275</v>
      </c>
      <c r="B24" s="22" t="s">
        <v>289</v>
      </c>
      <c r="C24" s="7">
        <v>400</v>
      </c>
      <c r="D24" s="7">
        <v>2757</v>
      </c>
      <c r="E24" s="7">
        <f t="shared" si="0"/>
        <v>1102800</v>
      </c>
      <c r="F24" s="7" t="s">
        <v>22</v>
      </c>
    </row>
    <row r="25" spans="1:6">
      <c r="A25" s="7">
        <v>6268</v>
      </c>
      <c r="B25" s="22" t="s">
        <v>284</v>
      </c>
      <c r="C25" s="7">
        <v>400</v>
      </c>
      <c r="D25" s="7">
        <v>2757</v>
      </c>
      <c r="E25" s="7">
        <f t="shared" si="0"/>
        <v>1102800</v>
      </c>
      <c r="F25" s="7" t="s">
        <v>22</v>
      </c>
    </row>
    <row r="26" spans="1:6">
      <c r="A26" s="7">
        <v>6326</v>
      </c>
      <c r="B26" s="22" t="s">
        <v>238</v>
      </c>
      <c r="C26" s="7">
        <v>400</v>
      </c>
      <c r="D26" s="7">
        <v>2757</v>
      </c>
      <c r="E26" s="7">
        <f t="shared" si="0"/>
        <v>1102800</v>
      </c>
      <c r="F26" s="7" t="s">
        <v>22</v>
      </c>
    </row>
    <row r="27" spans="3:5">
      <c r="C27" s="7" t="s">
        <v>18</v>
      </c>
      <c r="D27" s="7"/>
      <c r="E27" s="7">
        <f>SUM(E7:E26)</f>
        <v>22056000</v>
      </c>
    </row>
  </sheetData>
  <mergeCells count="7">
    <mergeCell ref="A3:C3"/>
    <mergeCell ref="D3:F3"/>
    <mergeCell ref="A4:C4"/>
    <mergeCell ref="D4:F4"/>
    <mergeCell ref="A5:F5"/>
    <mergeCell ref="C27:D27"/>
    <mergeCell ref="A1:F2"/>
  </mergeCells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F16" sqref="F16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400</v>
      </c>
      <c r="B3" s="1"/>
      <c r="C3" s="1"/>
      <c r="D3" s="1" t="s">
        <v>392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6361</v>
      </c>
      <c r="B7" s="22" t="s">
        <v>351</v>
      </c>
      <c r="C7" s="7">
        <v>400</v>
      </c>
      <c r="D7" s="7">
        <v>2757</v>
      </c>
      <c r="E7" s="7">
        <f t="shared" ref="E7:E21" si="0">C7*D7</f>
        <v>1102800</v>
      </c>
      <c r="F7" s="7" t="s">
        <v>22</v>
      </c>
    </row>
    <row r="8" spans="1:6">
      <c r="A8" s="7">
        <v>6362</v>
      </c>
      <c r="B8" s="22" t="s">
        <v>348</v>
      </c>
      <c r="C8" s="7">
        <v>400</v>
      </c>
      <c r="D8" s="7">
        <v>2757</v>
      </c>
      <c r="E8" s="7">
        <f t="shared" si="0"/>
        <v>1102800</v>
      </c>
      <c r="F8" s="7" t="s">
        <v>22</v>
      </c>
    </row>
    <row r="9" spans="1:6">
      <c r="A9" s="7">
        <v>6363</v>
      </c>
      <c r="B9" s="22" t="s">
        <v>349</v>
      </c>
      <c r="C9" s="7">
        <v>400</v>
      </c>
      <c r="D9" s="7">
        <v>2757</v>
      </c>
      <c r="E9" s="7">
        <f t="shared" si="0"/>
        <v>1102800</v>
      </c>
      <c r="F9" s="7" t="s">
        <v>22</v>
      </c>
    </row>
    <row r="10" spans="1:6">
      <c r="A10" s="7">
        <v>6325</v>
      </c>
      <c r="B10" s="22" t="s">
        <v>237</v>
      </c>
      <c r="C10" s="7">
        <v>400</v>
      </c>
      <c r="D10" s="7">
        <v>2757</v>
      </c>
      <c r="E10" s="7">
        <f t="shared" si="0"/>
        <v>1102800</v>
      </c>
      <c r="F10" s="7" t="s">
        <v>22</v>
      </c>
    </row>
    <row r="11" spans="1:6">
      <c r="A11" s="7">
        <v>6283</v>
      </c>
      <c r="B11" s="22" t="s">
        <v>295</v>
      </c>
      <c r="C11" s="7">
        <v>400</v>
      </c>
      <c r="D11" s="7">
        <v>2757</v>
      </c>
      <c r="E11" s="7">
        <f t="shared" si="0"/>
        <v>1102800</v>
      </c>
      <c r="F11" s="7" t="s">
        <v>22</v>
      </c>
    </row>
    <row r="12" spans="1:6">
      <c r="A12" s="7">
        <v>6412</v>
      </c>
      <c r="B12" s="22" t="s">
        <v>331</v>
      </c>
      <c r="C12" s="7">
        <v>400</v>
      </c>
      <c r="D12" s="7">
        <v>2757</v>
      </c>
      <c r="E12" s="7">
        <f t="shared" si="0"/>
        <v>1102800</v>
      </c>
      <c r="F12" s="7" t="s">
        <v>22</v>
      </c>
    </row>
    <row r="13" spans="1:6">
      <c r="A13" s="7">
        <v>6318</v>
      </c>
      <c r="B13" s="22" t="s">
        <v>242</v>
      </c>
      <c r="C13" s="7">
        <v>400</v>
      </c>
      <c r="D13" s="7">
        <v>2757</v>
      </c>
      <c r="E13" s="7">
        <f t="shared" si="0"/>
        <v>1102800</v>
      </c>
      <c r="F13" s="7" t="s">
        <v>22</v>
      </c>
    </row>
    <row r="14" spans="1:6">
      <c r="A14" s="7">
        <v>6316</v>
      </c>
      <c r="B14" s="22" t="s">
        <v>243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1:6">
      <c r="A15" s="7">
        <v>6319</v>
      </c>
      <c r="B15" s="22" t="s">
        <v>244</v>
      </c>
      <c r="C15" s="7">
        <v>400</v>
      </c>
      <c r="D15" s="7">
        <v>2757</v>
      </c>
      <c r="E15" s="7">
        <f t="shared" si="0"/>
        <v>1102800</v>
      </c>
      <c r="F15" s="7" t="s">
        <v>22</v>
      </c>
    </row>
    <row r="16" spans="1:6">
      <c r="A16" s="7">
        <v>6516</v>
      </c>
      <c r="B16" s="22" t="s">
        <v>336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1:6">
      <c r="A17" s="7">
        <v>6518</v>
      </c>
      <c r="B17" s="22" t="s">
        <v>335</v>
      </c>
      <c r="C17" s="7">
        <v>400</v>
      </c>
      <c r="D17" s="7">
        <v>2757</v>
      </c>
      <c r="E17" s="7">
        <f t="shared" si="0"/>
        <v>1102800</v>
      </c>
      <c r="F17" s="7" t="s">
        <v>22</v>
      </c>
    </row>
    <row r="18" spans="1:6">
      <c r="A18" s="7">
        <v>6512</v>
      </c>
      <c r="B18" s="22" t="s">
        <v>334</v>
      </c>
      <c r="C18" s="7">
        <v>400</v>
      </c>
      <c r="D18" s="7">
        <v>2757</v>
      </c>
      <c r="E18" s="7">
        <f t="shared" si="0"/>
        <v>1102800</v>
      </c>
      <c r="F18" s="7" t="s">
        <v>22</v>
      </c>
    </row>
    <row r="19" spans="1:6">
      <c r="A19" s="7">
        <v>6515</v>
      </c>
      <c r="B19" s="22" t="s">
        <v>333</v>
      </c>
      <c r="C19" s="7">
        <v>400</v>
      </c>
      <c r="D19" s="7">
        <v>2757</v>
      </c>
      <c r="E19" s="7">
        <f t="shared" si="0"/>
        <v>1102800</v>
      </c>
      <c r="F19" s="7" t="s">
        <v>22</v>
      </c>
    </row>
    <row r="20" spans="1:6">
      <c r="A20" s="7">
        <v>6517</v>
      </c>
      <c r="B20" s="22" t="s">
        <v>332</v>
      </c>
      <c r="C20" s="7">
        <v>400</v>
      </c>
      <c r="D20" s="7">
        <v>2757</v>
      </c>
      <c r="E20" s="7">
        <f t="shared" si="0"/>
        <v>1102800</v>
      </c>
      <c r="F20" s="7" t="s">
        <v>22</v>
      </c>
    </row>
    <row r="21" spans="1:6">
      <c r="A21" s="7">
        <v>6380</v>
      </c>
      <c r="B21" s="22" t="s">
        <v>245</v>
      </c>
      <c r="C21" s="7">
        <v>400</v>
      </c>
      <c r="D21" s="7">
        <v>2757</v>
      </c>
      <c r="E21" s="7">
        <f t="shared" si="0"/>
        <v>1102800</v>
      </c>
      <c r="F21" s="7" t="s">
        <v>22</v>
      </c>
    </row>
    <row r="22" spans="3:5">
      <c r="C22" s="7" t="s">
        <v>18</v>
      </c>
      <c r="D22" s="7"/>
      <c r="E22" s="7">
        <f>SUM(E7:E21)</f>
        <v>16542000</v>
      </c>
    </row>
  </sheetData>
  <mergeCells count="7">
    <mergeCell ref="A3:C3"/>
    <mergeCell ref="D3:F3"/>
    <mergeCell ref="A4:C4"/>
    <mergeCell ref="D4:F4"/>
    <mergeCell ref="A5:F5"/>
    <mergeCell ref="C22:D22"/>
    <mergeCell ref="A1:F2"/>
  </mergeCells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3" sqref="A13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401</v>
      </c>
      <c r="B3" s="1"/>
      <c r="C3" s="1"/>
      <c r="D3" s="1" t="s">
        <v>402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6480</v>
      </c>
      <c r="B7" s="22" t="s">
        <v>26</v>
      </c>
      <c r="C7" s="7">
        <v>450</v>
      </c>
      <c r="D7" s="7">
        <v>2757</v>
      </c>
      <c r="E7" s="7">
        <f t="shared" ref="E7:E16" si="0">C7*D7</f>
        <v>1240650</v>
      </c>
      <c r="F7" s="7" t="s">
        <v>13</v>
      </c>
    </row>
    <row r="8" spans="1:6">
      <c r="A8" s="7">
        <v>6481</v>
      </c>
      <c r="B8" s="22" t="s">
        <v>24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6488</v>
      </c>
      <c r="B9" s="22" t="s">
        <v>42</v>
      </c>
      <c r="C9" s="7">
        <v>500</v>
      </c>
      <c r="D9" s="7">
        <v>2757</v>
      </c>
      <c r="E9" s="7">
        <f t="shared" si="0"/>
        <v>1378500</v>
      </c>
      <c r="F9" s="7" t="s">
        <v>13</v>
      </c>
    </row>
    <row r="10" spans="1:6">
      <c r="A10" s="7">
        <v>6478</v>
      </c>
      <c r="B10" s="22" t="s">
        <v>29</v>
      </c>
      <c r="C10" s="7">
        <v>450</v>
      </c>
      <c r="D10" s="7">
        <v>2757</v>
      </c>
      <c r="E10" s="7">
        <f t="shared" si="0"/>
        <v>1240650</v>
      </c>
      <c r="F10" s="7" t="s">
        <v>13</v>
      </c>
    </row>
    <row r="11" spans="1:6">
      <c r="A11" s="7"/>
      <c r="B11" s="22" t="s">
        <v>403</v>
      </c>
      <c r="C11" s="7">
        <v>450</v>
      </c>
      <c r="D11" s="7">
        <v>2757</v>
      </c>
      <c r="E11" s="7">
        <f t="shared" si="0"/>
        <v>1240650</v>
      </c>
      <c r="F11" s="7"/>
    </row>
    <row r="12" spans="1:6">
      <c r="A12" s="7">
        <v>6476</v>
      </c>
      <c r="B12" s="22" t="s">
        <v>28</v>
      </c>
      <c r="C12" s="7">
        <v>450</v>
      </c>
      <c r="D12" s="7">
        <v>2757</v>
      </c>
      <c r="E12" s="7">
        <f t="shared" si="0"/>
        <v>1240650</v>
      </c>
      <c r="F12" s="7" t="s">
        <v>13</v>
      </c>
    </row>
    <row r="13" spans="1:6">
      <c r="A13" s="7">
        <v>6431</v>
      </c>
      <c r="B13" s="22" t="s">
        <v>352</v>
      </c>
      <c r="C13" s="7">
        <v>400</v>
      </c>
      <c r="D13" s="7">
        <v>2757</v>
      </c>
      <c r="E13" s="7">
        <f t="shared" si="0"/>
        <v>1102800</v>
      </c>
      <c r="F13" s="7" t="s">
        <v>22</v>
      </c>
    </row>
    <row r="14" spans="1:6">
      <c r="A14" s="7">
        <v>6360</v>
      </c>
      <c r="B14" s="22" t="s">
        <v>350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1:6">
      <c r="A15" s="7">
        <v>6406</v>
      </c>
      <c r="B15" s="22" t="s">
        <v>354</v>
      </c>
      <c r="C15" s="7">
        <v>400</v>
      </c>
      <c r="D15" s="7">
        <v>2757</v>
      </c>
      <c r="E15" s="7">
        <f t="shared" si="0"/>
        <v>1102800</v>
      </c>
      <c r="F15" s="7" t="s">
        <v>22</v>
      </c>
    </row>
    <row r="16" spans="1:6">
      <c r="A16" s="7">
        <v>6407</v>
      </c>
      <c r="B16" s="22" t="s">
        <v>353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3:5">
      <c r="C17" s="7" t="s">
        <v>18</v>
      </c>
      <c r="D17" s="7"/>
      <c r="E17" s="7">
        <f>SUM(E7:E16)</f>
        <v>11992950</v>
      </c>
    </row>
  </sheetData>
  <mergeCells count="7">
    <mergeCell ref="A3:C3"/>
    <mergeCell ref="D3:F3"/>
    <mergeCell ref="A4:C4"/>
    <mergeCell ref="D4:F4"/>
    <mergeCell ref="A5:F5"/>
    <mergeCell ref="C17:D17"/>
    <mergeCell ref="A1:F2"/>
  </mergeCell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J16" sqref="J16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404</v>
      </c>
      <c r="B3" s="1"/>
      <c r="C3" s="1"/>
      <c r="D3" s="1" t="s">
        <v>402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6431</v>
      </c>
      <c r="B7" s="22" t="s">
        <v>352</v>
      </c>
      <c r="C7" s="7">
        <v>100</v>
      </c>
      <c r="D7" s="7">
        <v>2875</v>
      </c>
      <c r="E7" s="7">
        <f t="shared" ref="E7:E10" si="0">C7*D7</f>
        <v>287500</v>
      </c>
      <c r="F7" s="7" t="s">
        <v>22</v>
      </c>
    </row>
    <row r="8" spans="1:6">
      <c r="A8" s="7">
        <v>6360</v>
      </c>
      <c r="B8" s="22" t="s">
        <v>350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6406</v>
      </c>
      <c r="B9" s="22" t="s">
        <v>354</v>
      </c>
      <c r="C9" s="7">
        <v>100</v>
      </c>
      <c r="D9" s="7">
        <v>2875</v>
      </c>
      <c r="E9" s="7">
        <f t="shared" si="0"/>
        <v>287500</v>
      </c>
      <c r="F9" s="7" t="s">
        <v>22</v>
      </c>
    </row>
    <row r="10" spans="1:6">
      <c r="A10" s="7">
        <v>6407</v>
      </c>
      <c r="B10" s="22" t="s">
        <v>353</v>
      </c>
      <c r="C10" s="7">
        <v>100</v>
      </c>
      <c r="D10" s="7">
        <v>2875</v>
      </c>
      <c r="E10" s="7">
        <f t="shared" si="0"/>
        <v>287500</v>
      </c>
      <c r="F10" s="7" t="s">
        <v>22</v>
      </c>
    </row>
    <row r="11" spans="3:5">
      <c r="C11" s="7" t="s">
        <v>18</v>
      </c>
      <c r="D11" s="7"/>
      <c r="E11" s="7">
        <f>SUM(E7:E10)</f>
        <v>1150000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4" workbookViewId="0">
      <selection activeCell="E18" sqref="E1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405</v>
      </c>
      <c r="B3" s="1"/>
      <c r="C3" s="1"/>
      <c r="D3" s="1" t="s">
        <v>402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6180</v>
      </c>
      <c r="B7" s="22" t="s">
        <v>101</v>
      </c>
      <c r="C7" s="7">
        <v>520</v>
      </c>
      <c r="D7" s="7">
        <v>1.1</v>
      </c>
      <c r="E7" s="7">
        <f t="shared" ref="E7:E26" si="0">C7*D7</f>
        <v>572</v>
      </c>
      <c r="F7" s="7" t="s">
        <v>266</v>
      </c>
    </row>
    <row r="8" spans="1:6">
      <c r="A8" s="7">
        <v>6465</v>
      </c>
      <c r="B8" s="22" t="s">
        <v>322</v>
      </c>
      <c r="C8" s="7">
        <v>600</v>
      </c>
      <c r="D8" s="7">
        <v>1.1</v>
      </c>
      <c r="E8" s="7">
        <f t="shared" si="0"/>
        <v>660</v>
      </c>
      <c r="F8" s="7" t="s">
        <v>13</v>
      </c>
    </row>
    <row r="9" spans="1:6">
      <c r="A9" s="7">
        <v>6469</v>
      </c>
      <c r="B9" s="22" t="s">
        <v>341</v>
      </c>
      <c r="C9" s="7">
        <v>560</v>
      </c>
      <c r="D9" s="7">
        <v>1.1</v>
      </c>
      <c r="E9" s="7">
        <f t="shared" si="0"/>
        <v>616</v>
      </c>
      <c r="F9" s="7" t="s">
        <v>13</v>
      </c>
    </row>
    <row r="10" spans="1:6">
      <c r="A10" s="7">
        <v>6470</v>
      </c>
      <c r="B10" s="22" t="s">
        <v>317</v>
      </c>
      <c r="C10" s="7">
        <v>560</v>
      </c>
      <c r="D10" s="7">
        <v>1.1</v>
      </c>
      <c r="E10" s="7">
        <f t="shared" si="0"/>
        <v>616</v>
      </c>
      <c r="F10" s="7" t="s">
        <v>13</v>
      </c>
    </row>
    <row r="11" spans="1:6">
      <c r="A11" s="7">
        <v>6467</v>
      </c>
      <c r="B11" s="22" t="s">
        <v>261</v>
      </c>
      <c r="C11" s="7">
        <v>560</v>
      </c>
      <c r="D11" s="7">
        <v>1.1</v>
      </c>
      <c r="E11" s="7">
        <f t="shared" si="0"/>
        <v>616</v>
      </c>
      <c r="F11" s="7" t="s">
        <v>13</v>
      </c>
    </row>
    <row r="12" spans="1:6">
      <c r="A12" s="7">
        <v>6185</v>
      </c>
      <c r="B12" s="22" t="s">
        <v>320</v>
      </c>
      <c r="C12" s="7">
        <v>560</v>
      </c>
      <c r="D12" s="7">
        <v>1.1</v>
      </c>
      <c r="E12" s="7">
        <f t="shared" si="0"/>
        <v>616</v>
      </c>
      <c r="F12" s="7" t="s">
        <v>266</v>
      </c>
    </row>
    <row r="13" spans="1:6">
      <c r="A13" s="7">
        <v>6461</v>
      </c>
      <c r="B13" s="22" t="s">
        <v>324</v>
      </c>
      <c r="C13" s="7">
        <v>560</v>
      </c>
      <c r="D13" s="7">
        <v>1.1</v>
      </c>
      <c r="E13" s="7">
        <f t="shared" si="0"/>
        <v>616</v>
      </c>
      <c r="F13" s="7" t="s">
        <v>13</v>
      </c>
    </row>
    <row r="14" spans="1:6">
      <c r="A14" s="7">
        <v>6471</v>
      </c>
      <c r="B14" s="22" t="s">
        <v>278</v>
      </c>
      <c r="C14" s="7">
        <v>560</v>
      </c>
      <c r="D14" s="7">
        <v>1.1</v>
      </c>
      <c r="E14" s="7">
        <f t="shared" si="0"/>
        <v>616</v>
      </c>
      <c r="F14" s="7" t="s">
        <v>13</v>
      </c>
    </row>
    <row r="15" spans="1:6">
      <c r="A15" s="7">
        <v>6474</v>
      </c>
      <c r="B15" s="22" t="s">
        <v>315</v>
      </c>
      <c r="C15" s="7">
        <v>560</v>
      </c>
      <c r="D15" s="7">
        <v>1.1</v>
      </c>
      <c r="E15" s="7">
        <f t="shared" si="0"/>
        <v>616</v>
      </c>
      <c r="F15" s="7" t="s">
        <v>13</v>
      </c>
    </row>
    <row r="16" spans="1:6">
      <c r="A16" s="7">
        <v>6460</v>
      </c>
      <c r="B16" s="22" t="s">
        <v>389</v>
      </c>
      <c r="C16" s="7">
        <v>560</v>
      </c>
      <c r="D16" s="7">
        <v>1.1</v>
      </c>
      <c r="E16" s="7">
        <f t="shared" si="0"/>
        <v>616</v>
      </c>
      <c r="F16" s="7" t="s">
        <v>13</v>
      </c>
    </row>
    <row r="17" spans="1:6">
      <c r="A17" s="7">
        <v>6201</v>
      </c>
      <c r="B17" s="22" t="s">
        <v>195</v>
      </c>
      <c r="C17" s="7">
        <v>592</v>
      </c>
      <c r="D17" s="7">
        <v>1.1</v>
      </c>
      <c r="E17" s="7">
        <f t="shared" si="0"/>
        <v>651.2</v>
      </c>
      <c r="F17" s="7" t="s">
        <v>13</v>
      </c>
    </row>
    <row r="18" spans="1:6">
      <c r="A18" s="7">
        <v>6214</v>
      </c>
      <c r="B18" s="22" t="s">
        <v>193</v>
      </c>
      <c r="C18" s="7">
        <v>585</v>
      </c>
      <c r="D18" s="7">
        <v>1.1</v>
      </c>
      <c r="E18" s="7">
        <f t="shared" si="0"/>
        <v>643.5</v>
      </c>
      <c r="F18" s="7" t="s">
        <v>13</v>
      </c>
    </row>
    <row r="19" spans="1:6">
      <c r="A19" s="7">
        <v>6206</v>
      </c>
      <c r="B19" s="22" t="s">
        <v>216</v>
      </c>
      <c r="C19" s="7">
        <v>560</v>
      </c>
      <c r="D19" s="7">
        <v>1.1</v>
      </c>
      <c r="E19" s="7">
        <f t="shared" si="0"/>
        <v>616</v>
      </c>
      <c r="F19" s="7" t="s">
        <v>13</v>
      </c>
    </row>
    <row r="20" spans="1:6">
      <c r="A20" s="7">
        <v>6192</v>
      </c>
      <c r="B20" s="22" t="s">
        <v>260</v>
      </c>
      <c r="C20" s="7">
        <v>560</v>
      </c>
      <c r="D20" s="7">
        <v>1.1</v>
      </c>
      <c r="E20" s="7">
        <f t="shared" si="0"/>
        <v>616</v>
      </c>
      <c r="F20" s="7" t="s">
        <v>13</v>
      </c>
    </row>
    <row r="21" spans="1:6">
      <c r="A21" s="7">
        <v>6493</v>
      </c>
      <c r="B21" s="22" t="s">
        <v>323</v>
      </c>
      <c r="C21" s="7">
        <v>460</v>
      </c>
      <c r="D21" s="7">
        <v>1.1</v>
      </c>
      <c r="E21" s="7">
        <f t="shared" si="0"/>
        <v>506</v>
      </c>
      <c r="F21" s="7" t="s">
        <v>212</v>
      </c>
    </row>
    <row r="22" spans="1:6">
      <c r="A22" s="7">
        <v>6496</v>
      </c>
      <c r="B22" s="22" t="s">
        <v>318</v>
      </c>
      <c r="C22" s="7">
        <v>460</v>
      </c>
      <c r="D22" s="7">
        <v>1.1</v>
      </c>
      <c r="E22" s="7">
        <f t="shared" si="0"/>
        <v>506</v>
      </c>
      <c r="F22" s="7" t="s">
        <v>212</v>
      </c>
    </row>
    <row r="23" spans="1:6">
      <c r="A23" s="7">
        <v>6492</v>
      </c>
      <c r="B23" s="22" t="s">
        <v>344</v>
      </c>
      <c r="C23" s="7">
        <v>480</v>
      </c>
      <c r="D23" s="7">
        <v>1.1</v>
      </c>
      <c r="E23" s="7">
        <f t="shared" si="0"/>
        <v>528</v>
      </c>
      <c r="F23" s="7" t="s">
        <v>212</v>
      </c>
    </row>
    <row r="24" spans="1:6">
      <c r="A24" s="7">
        <v>6500</v>
      </c>
      <c r="B24" s="22" t="s">
        <v>262</v>
      </c>
      <c r="C24" s="7">
        <v>460</v>
      </c>
      <c r="D24" s="7">
        <v>1.1</v>
      </c>
      <c r="E24" s="7">
        <f t="shared" si="0"/>
        <v>506</v>
      </c>
      <c r="F24" s="7" t="s">
        <v>212</v>
      </c>
    </row>
    <row r="25" spans="1:6">
      <c r="A25" s="7">
        <v>6494</v>
      </c>
      <c r="B25" s="22" t="s">
        <v>378</v>
      </c>
      <c r="C25" s="7">
        <v>460</v>
      </c>
      <c r="D25" s="7">
        <v>1.1</v>
      </c>
      <c r="E25" s="7">
        <f t="shared" si="0"/>
        <v>506</v>
      </c>
      <c r="F25" s="7" t="s">
        <v>212</v>
      </c>
    </row>
    <row r="26" spans="1:6">
      <c r="A26" s="7">
        <v>6309</v>
      </c>
      <c r="B26" s="22" t="s">
        <v>343</v>
      </c>
      <c r="C26" s="7">
        <v>600</v>
      </c>
      <c r="D26" s="7">
        <v>1.1</v>
      </c>
      <c r="E26" s="7">
        <f t="shared" si="0"/>
        <v>660</v>
      </c>
      <c r="F26" s="7" t="s">
        <v>13</v>
      </c>
    </row>
    <row r="27" spans="3:6">
      <c r="C27" s="8" t="s">
        <v>18</v>
      </c>
      <c r="D27" s="8"/>
      <c r="E27" s="8">
        <f>SUM(E7:E26)</f>
        <v>11898.7</v>
      </c>
      <c r="F27" s="21"/>
    </row>
    <row r="28" spans="6:6">
      <c r="F28" s="21"/>
    </row>
  </sheetData>
  <mergeCells count="7">
    <mergeCell ref="A3:C3"/>
    <mergeCell ref="D3:F3"/>
    <mergeCell ref="A4:C4"/>
    <mergeCell ref="D4:F4"/>
    <mergeCell ref="A5:F5"/>
    <mergeCell ref="C27:D27"/>
    <mergeCell ref="A1:F2"/>
  </mergeCells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C8" sqref="C8:D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406</v>
      </c>
      <c r="B3" s="1"/>
      <c r="C3" s="1"/>
      <c r="D3" s="1" t="s">
        <v>402</v>
      </c>
      <c r="E3" s="1"/>
      <c r="F3" s="1"/>
    </row>
    <row r="4" spans="1:6">
      <c r="A4" s="2" t="s">
        <v>56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 t="s">
        <v>407</v>
      </c>
      <c r="B7" s="22" t="s">
        <v>370</v>
      </c>
      <c r="C7" s="7">
        <v>30</v>
      </c>
      <c r="D7" s="7">
        <v>2710</v>
      </c>
      <c r="E7" s="7">
        <f t="shared" ref="E7" si="0">C7*D7</f>
        <v>81300</v>
      </c>
      <c r="F7" s="7" t="s">
        <v>407</v>
      </c>
    </row>
    <row r="8" spans="3:6">
      <c r="C8" s="8" t="s">
        <v>18</v>
      </c>
      <c r="D8" s="8"/>
      <c r="E8" s="8">
        <f>SUM(E7:E7)</f>
        <v>81300</v>
      </c>
      <c r="F8" s="21"/>
    </row>
    <row r="9" spans="6:6">
      <c r="F9" s="21"/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8" sqref="E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408</v>
      </c>
      <c r="B3" s="1"/>
      <c r="C3" s="1"/>
      <c r="D3" s="1" t="s">
        <v>409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6573</v>
      </c>
      <c r="B7" s="22" t="s">
        <v>182</v>
      </c>
      <c r="C7" s="7">
        <v>450</v>
      </c>
      <c r="D7" s="7">
        <v>2757</v>
      </c>
      <c r="E7" s="7">
        <f t="shared" ref="E7:E10" si="0">C7*D7</f>
        <v>1240650</v>
      </c>
      <c r="F7" s="7" t="s">
        <v>13</v>
      </c>
    </row>
    <row r="8" spans="1:6">
      <c r="A8" s="7">
        <v>6484</v>
      </c>
      <c r="B8" s="22" t="s">
        <v>370</v>
      </c>
      <c r="C8" s="7">
        <v>500</v>
      </c>
      <c r="D8" s="7">
        <v>2757</v>
      </c>
      <c r="E8" s="7">
        <f t="shared" si="0"/>
        <v>1378500</v>
      </c>
      <c r="F8" s="7" t="s">
        <v>13</v>
      </c>
    </row>
    <row r="9" spans="1:6">
      <c r="A9" s="7">
        <v>6187</v>
      </c>
      <c r="B9" s="22" t="s">
        <v>410</v>
      </c>
      <c r="C9" s="7">
        <v>450</v>
      </c>
      <c r="D9" s="7">
        <v>2757</v>
      </c>
      <c r="E9" s="7">
        <f t="shared" si="0"/>
        <v>1240650</v>
      </c>
      <c r="F9" s="7" t="s">
        <v>266</v>
      </c>
    </row>
    <row r="10" spans="1:6">
      <c r="A10" s="7">
        <v>6498</v>
      </c>
      <c r="B10" s="22" t="s">
        <v>411</v>
      </c>
      <c r="C10" s="7">
        <v>450</v>
      </c>
      <c r="D10" s="7">
        <v>2757</v>
      </c>
      <c r="E10" s="7">
        <f t="shared" si="0"/>
        <v>1240650</v>
      </c>
      <c r="F10" s="7" t="s">
        <v>212</v>
      </c>
    </row>
    <row r="11" spans="3:6">
      <c r="C11" s="8" t="s">
        <v>18</v>
      </c>
      <c r="D11" s="8"/>
      <c r="E11" s="8">
        <f>SUM(E7:E10)</f>
        <v>5100450</v>
      </c>
      <c r="F11" s="21"/>
    </row>
    <row r="12" spans="6:6">
      <c r="F12" s="21"/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2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412</v>
      </c>
      <c r="B3" s="1"/>
      <c r="C3" s="1"/>
      <c r="D3" s="1" t="s">
        <v>409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6191</v>
      </c>
      <c r="B7" s="22" t="s">
        <v>342</v>
      </c>
      <c r="C7" s="7">
        <v>560</v>
      </c>
      <c r="D7" s="7">
        <v>1.1</v>
      </c>
      <c r="E7" s="7">
        <f t="shared" ref="E7" si="0">C7*D7</f>
        <v>616</v>
      </c>
      <c r="F7" s="7" t="s">
        <v>266</v>
      </c>
    </row>
    <row r="8" spans="3:6">
      <c r="C8" s="8" t="s">
        <v>18</v>
      </c>
      <c r="D8" s="8"/>
      <c r="E8" s="8">
        <f>SUM(E7:E7)</f>
        <v>616</v>
      </c>
      <c r="F8" s="21"/>
    </row>
    <row r="9" spans="6:6">
      <c r="F9" s="21"/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8" sqref="D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413</v>
      </c>
      <c r="B3" s="1"/>
      <c r="C3" s="1"/>
      <c r="D3" s="1" t="s">
        <v>409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6380</v>
      </c>
      <c r="B7" s="22" t="s">
        <v>245</v>
      </c>
      <c r="C7" s="7">
        <v>350</v>
      </c>
      <c r="D7" s="7">
        <v>3039</v>
      </c>
      <c r="E7" s="7">
        <f t="shared" ref="E7:E9" si="0">C7*D7</f>
        <v>1063650</v>
      </c>
      <c r="F7" s="7" t="s">
        <v>22</v>
      </c>
    </row>
    <row r="8" spans="1:6">
      <c r="A8" s="7">
        <v>6389</v>
      </c>
      <c r="B8" s="22" t="s">
        <v>296</v>
      </c>
      <c r="C8" s="7">
        <v>350</v>
      </c>
      <c r="D8" s="7">
        <v>3039</v>
      </c>
      <c r="E8" s="7">
        <f t="shared" si="0"/>
        <v>1063650</v>
      </c>
      <c r="F8" s="7" t="s">
        <v>22</v>
      </c>
    </row>
    <row r="9" spans="1:6">
      <c r="A9" s="7">
        <v>6409</v>
      </c>
      <c r="B9" s="22" t="s">
        <v>355</v>
      </c>
      <c r="C9" s="7">
        <v>50</v>
      </c>
      <c r="D9" s="7">
        <v>3039</v>
      </c>
      <c r="E9" s="7">
        <f t="shared" si="0"/>
        <v>151950</v>
      </c>
      <c r="F9" s="7" t="s">
        <v>22</v>
      </c>
    </row>
    <row r="10" spans="3:6">
      <c r="C10" s="8" t="s">
        <v>18</v>
      </c>
      <c r="D10" s="8"/>
      <c r="E10" s="8">
        <f>SUM(E7:E9)</f>
        <v>2279250</v>
      </c>
      <c r="F10" s="21"/>
    </row>
    <row r="11" spans="6:6">
      <c r="F11" s="21"/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10" sqref="I10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413</v>
      </c>
      <c r="B3" s="1"/>
      <c r="C3" s="1"/>
      <c r="D3" s="1" t="s">
        <v>409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6380</v>
      </c>
      <c r="B7" s="22" t="s">
        <v>245</v>
      </c>
      <c r="C7" s="7">
        <v>350</v>
      </c>
      <c r="D7" s="7">
        <v>3039</v>
      </c>
      <c r="E7" s="7">
        <f t="shared" ref="E7:E9" si="0">C7*D7</f>
        <v>1063650</v>
      </c>
      <c r="F7" s="7" t="s">
        <v>22</v>
      </c>
    </row>
    <row r="8" spans="1:6">
      <c r="A8" s="7">
        <v>6389</v>
      </c>
      <c r="B8" s="22" t="s">
        <v>296</v>
      </c>
      <c r="C8" s="7">
        <v>350</v>
      </c>
      <c r="D8" s="7">
        <v>3039</v>
      </c>
      <c r="E8" s="7">
        <f t="shared" si="0"/>
        <v>1063650</v>
      </c>
      <c r="F8" s="7" t="s">
        <v>22</v>
      </c>
    </row>
    <row r="9" spans="1:6">
      <c r="A9" s="7">
        <v>6409</v>
      </c>
      <c r="B9" s="22" t="s">
        <v>355</v>
      </c>
      <c r="C9" s="7">
        <v>50</v>
      </c>
      <c r="D9" s="7">
        <v>3039</v>
      </c>
      <c r="E9" s="7">
        <f t="shared" si="0"/>
        <v>151950</v>
      </c>
      <c r="F9" s="7" t="s">
        <v>22</v>
      </c>
    </row>
    <row r="10" spans="3:6">
      <c r="C10" s="8" t="s">
        <v>18</v>
      </c>
      <c r="D10" s="8"/>
      <c r="E10" s="8">
        <f>SUM(E7:E9)</f>
        <v>2279250</v>
      </c>
      <c r="F10" s="21"/>
    </row>
    <row r="11" spans="6:6">
      <c r="F11" s="21"/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1" sqref="D11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414</v>
      </c>
      <c r="B3" s="1"/>
      <c r="C3" s="1"/>
      <c r="D3" s="1" t="s">
        <v>415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6580</v>
      </c>
      <c r="B7" s="22" t="s">
        <v>35</v>
      </c>
      <c r="C7" s="7">
        <v>450</v>
      </c>
      <c r="D7" s="7">
        <v>2757</v>
      </c>
      <c r="E7" s="7">
        <f t="shared" ref="E7:E14" si="0">C7*D7</f>
        <v>1240650</v>
      </c>
      <c r="F7" s="7" t="s">
        <v>13</v>
      </c>
    </row>
    <row r="8" spans="1:6">
      <c r="A8" s="7">
        <v>6477</v>
      </c>
      <c r="B8" s="22" t="s">
        <v>31</v>
      </c>
      <c r="C8" s="7">
        <v>500</v>
      </c>
      <c r="D8" s="7">
        <v>2757</v>
      </c>
      <c r="E8" s="7">
        <f t="shared" si="0"/>
        <v>1378500</v>
      </c>
      <c r="F8" s="7" t="s">
        <v>13</v>
      </c>
    </row>
    <row r="9" spans="1:6">
      <c r="A9" s="7">
        <v>6581</v>
      </c>
      <c r="B9" s="22" t="s">
        <v>163</v>
      </c>
      <c r="C9" s="7">
        <v>500</v>
      </c>
      <c r="D9" s="7">
        <v>2757</v>
      </c>
      <c r="E9" s="7">
        <f t="shared" si="0"/>
        <v>1378500</v>
      </c>
      <c r="F9" s="7" t="s">
        <v>13</v>
      </c>
    </row>
    <row r="10" spans="1:6">
      <c r="A10" s="7">
        <v>6489</v>
      </c>
      <c r="B10" s="22" t="s">
        <v>41</v>
      </c>
      <c r="C10" s="7">
        <v>500</v>
      </c>
      <c r="D10" s="7">
        <v>2757</v>
      </c>
      <c r="E10" s="7">
        <f t="shared" si="0"/>
        <v>1378500</v>
      </c>
      <c r="F10" s="7" t="s">
        <v>13</v>
      </c>
    </row>
    <row r="11" spans="1:6">
      <c r="A11" s="7">
        <v>6189</v>
      </c>
      <c r="B11" s="22" t="s">
        <v>369</v>
      </c>
      <c r="C11" s="7">
        <v>500</v>
      </c>
      <c r="D11" s="7">
        <v>2757</v>
      </c>
      <c r="E11" s="7">
        <f t="shared" si="0"/>
        <v>1378500</v>
      </c>
      <c r="F11" s="7" t="s">
        <v>266</v>
      </c>
    </row>
    <row r="12" spans="1:6">
      <c r="A12" s="7">
        <v>6188</v>
      </c>
      <c r="B12" s="22" t="s">
        <v>416</v>
      </c>
      <c r="C12" s="7">
        <v>450</v>
      </c>
      <c r="D12" s="7">
        <v>2757</v>
      </c>
      <c r="E12" s="7">
        <f t="shared" si="0"/>
        <v>1240650</v>
      </c>
      <c r="F12" s="7" t="s">
        <v>266</v>
      </c>
    </row>
    <row r="13" spans="1:6">
      <c r="A13" s="7">
        <v>6482</v>
      </c>
      <c r="B13" s="22" t="s">
        <v>25</v>
      </c>
      <c r="C13" s="7">
        <v>500</v>
      </c>
      <c r="D13" s="7">
        <v>2757</v>
      </c>
      <c r="E13" s="7">
        <f t="shared" si="0"/>
        <v>1378500</v>
      </c>
      <c r="F13" s="7" t="s">
        <v>13</v>
      </c>
    </row>
    <row r="14" spans="1:6">
      <c r="A14" s="7">
        <v>6472</v>
      </c>
      <c r="B14" s="22" t="s">
        <v>371</v>
      </c>
      <c r="C14" s="7">
        <v>450</v>
      </c>
      <c r="D14" s="7">
        <v>2757</v>
      </c>
      <c r="E14" s="7">
        <f t="shared" si="0"/>
        <v>1240650</v>
      </c>
      <c r="F14" s="7" t="s">
        <v>13</v>
      </c>
    </row>
    <row r="15" spans="3:6">
      <c r="C15" s="8" t="s">
        <v>18</v>
      </c>
      <c r="D15" s="8"/>
      <c r="E15" s="8">
        <f>SUM(E7:E14)</f>
        <v>10614450</v>
      </c>
      <c r="F15" s="21"/>
    </row>
    <row r="16" spans="6:6">
      <c r="F16" s="21"/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C11" sqref="C11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417</v>
      </c>
      <c r="B3" s="1"/>
      <c r="C3" s="1"/>
      <c r="D3" s="1" t="s">
        <v>415</v>
      </c>
      <c r="E3" s="1"/>
      <c r="F3" s="1"/>
    </row>
    <row r="4" spans="1:6">
      <c r="A4" s="2" t="s">
        <v>76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6255</v>
      </c>
      <c r="B7" s="22" t="s">
        <v>418</v>
      </c>
      <c r="C7" s="7">
        <v>50</v>
      </c>
      <c r="D7" s="7">
        <v>1.1</v>
      </c>
      <c r="E7" s="7">
        <f t="shared" ref="E7:E28" si="0">C7*D7</f>
        <v>55</v>
      </c>
      <c r="F7" s="7" t="s">
        <v>22</v>
      </c>
    </row>
    <row r="8" spans="1:6">
      <c r="A8" s="7">
        <v>6602</v>
      </c>
      <c r="B8" s="22" t="s">
        <v>419</v>
      </c>
      <c r="C8" s="7">
        <v>50</v>
      </c>
      <c r="D8" s="7">
        <v>1.1</v>
      </c>
      <c r="E8" s="7">
        <f t="shared" si="0"/>
        <v>55</v>
      </c>
      <c r="F8" s="7" t="s">
        <v>22</v>
      </c>
    </row>
    <row r="9" spans="1:6">
      <c r="A9" s="7">
        <v>6603</v>
      </c>
      <c r="B9" s="22" t="s">
        <v>420</v>
      </c>
      <c r="C9" s="7">
        <v>50</v>
      </c>
      <c r="D9" s="7">
        <v>1.1</v>
      </c>
      <c r="E9" s="7">
        <f t="shared" si="0"/>
        <v>55</v>
      </c>
      <c r="F9" s="7" t="s">
        <v>22</v>
      </c>
    </row>
    <row r="10" spans="1:6">
      <c r="A10" s="7">
        <v>6604</v>
      </c>
      <c r="B10" s="22" t="s">
        <v>421</v>
      </c>
      <c r="C10" s="7">
        <v>50</v>
      </c>
      <c r="D10" s="7">
        <v>1.1</v>
      </c>
      <c r="E10" s="7">
        <f t="shared" si="0"/>
        <v>55</v>
      </c>
      <c r="F10" s="7" t="s">
        <v>22</v>
      </c>
    </row>
    <row r="11" spans="1:6">
      <c r="A11" s="7">
        <v>6605</v>
      </c>
      <c r="B11" s="22" t="s">
        <v>422</v>
      </c>
      <c r="C11" s="7">
        <v>50</v>
      </c>
      <c r="D11" s="7">
        <v>1.1</v>
      </c>
      <c r="E11" s="7">
        <f t="shared" si="0"/>
        <v>55</v>
      </c>
      <c r="F11" s="7" t="s">
        <v>22</v>
      </c>
    </row>
    <row r="12" spans="1:6">
      <c r="A12" s="7">
        <v>6419</v>
      </c>
      <c r="B12" s="22" t="s">
        <v>423</v>
      </c>
      <c r="C12" s="7">
        <v>50</v>
      </c>
      <c r="D12" s="7">
        <v>1.1</v>
      </c>
      <c r="E12" s="7">
        <f t="shared" si="0"/>
        <v>55</v>
      </c>
      <c r="F12" s="7" t="s">
        <v>78</v>
      </c>
    </row>
    <row r="13" spans="1:6">
      <c r="A13" s="7">
        <v>6437</v>
      </c>
      <c r="B13" s="22" t="s">
        <v>424</v>
      </c>
      <c r="C13" s="7">
        <v>50</v>
      </c>
      <c r="D13" s="7">
        <v>1.1</v>
      </c>
      <c r="E13" s="7">
        <f t="shared" si="0"/>
        <v>55</v>
      </c>
      <c r="F13" s="7" t="s">
        <v>78</v>
      </c>
    </row>
    <row r="14" spans="1:6">
      <c r="A14" s="7">
        <v>6440</v>
      </c>
      <c r="B14" s="22" t="s">
        <v>425</v>
      </c>
      <c r="C14" s="7">
        <v>50</v>
      </c>
      <c r="D14" s="7">
        <v>1.1</v>
      </c>
      <c r="E14" s="7">
        <f t="shared" si="0"/>
        <v>55</v>
      </c>
      <c r="F14" s="7" t="s">
        <v>78</v>
      </c>
    </row>
    <row r="15" spans="1:6">
      <c r="A15" s="7">
        <v>6428</v>
      </c>
      <c r="B15" s="22" t="s">
        <v>426</v>
      </c>
      <c r="C15" s="7">
        <v>50</v>
      </c>
      <c r="D15" s="7">
        <v>1.1</v>
      </c>
      <c r="E15" s="7">
        <f t="shared" si="0"/>
        <v>55</v>
      </c>
      <c r="F15" s="7" t="s">
        <v>78</v>
      </c>
    </row>
    <row r="16" spans="1:6">
      <c r="A16" s="7">
        <v>6438</v>
      </c>
      <c r="B16" s="22" t="s">
        <v>427</v>
      </c>
      <c r="C16" s="7">
        <v>50</v>
      </c>
      <c r="D16" s="7">
        <v>1.1</v>
      </c>
      <c r="E16" s="7">
        <f t="shared" si="0"/>
        <v>55</v>
      </c>
      <c r="F16" s="7" t="s">
        <v>78</v>
      </c>
    </row>
    <row r="17" spans="1:6">
      <c r="A17" s="7">
        <v>6444</v>
      </c>
      <c r="B17" s="22" t="s">
        <v>428</v>
      </c>
      <c r="C17" s="7">
        <v>50</v>
      </c>
      <c r="D17" s="7">
        <v>1.1</v>
      </c>
      <c r="E17" s="7">
        <f t="shared" si="0"/>
        <v>55</v>
      </c>
      <c r="F17" s="7" t="s">
        <v>78</v>
      </c>
    </row>
    <row r="18" spans="1:6">
      <c r="A18" s="7">
        <v>6390</v>
      </c>
      <c r="B18" s="22" t="s">
        <v>429</v>
      </c>
      <c r="C18" s="7">
        <v>50</v>
      </c>
      <c r="D18" s="7">
        <v>1.1</v>
      </c>
      <c r="E18" s="7">
        <f t="shared" si="0"/>
        <v>55</v>
      </c>
      <c r="F18" s="7" t="s">
        <v>22</v>
      </c>
    </row>
    <row r="19" spans="1:6">
      <c r="A19" s="7">
        <v>6392</v>
      </c>
      <c r="B19" s="22" t="s">
        <v>430</v>
      </c>
      <c r="C19" s="7">
        <v>50</v>
      </c>
      <c r="D19" s="7">
        <v>1.1</v>
      </c>
      <c r="E19" s="7">
        <f t="shared" si="0"/>
        <v>55</v>
      </c>
      <c r="F19" s="7" t="s">
        <v>22</v>
      </c>
    </row>
    <row r="20" spans="1:6">
      <c r="A20" s="7">
        <v>6391</v>
      </c>
      <c r="B20" s="22" t="s">
        <v>431</v>
      </c>
      <c r="C20" s="7">
        <v>50</v>
      </c>
      <c r="D20" s="7">
        <v>1.1</v>
      </c>
      <c r="E20" s="7">
        <f t="shared" si="0"/>
        <v>55</v>
      </c>
      <c r="F20" s="7" t="s">
        <v>22</v>
      </c>
    </row>
    <row r="21" spans="1:6">
      <c r="A21" s="7">
        <v>6519</v>
      </c>
      <c r="B21" s="22" t="s">
        <v>432</v>
      </c>
      <c r="C21" s="7">
        <v>50</v>
      </c>
      <c r="D21" s="7">
        <v>1.1</v>
      </c>
      <c r="E21" s="7">
        <f t="shared" si="0"/>
        <v>55</v>
      </c>
      <c r="F21" s="7" t="s">
        <v>22</v>
      </c>
    </row>
    <row r="22" spans="1:6">
      <c r="A22" s="7">
        <v>6522</v>
      </c>
      <c r="B22" s="22" t="s">
        <v>433</v>
      </c>
      <c r="C22" s="7">
        <v>50</v>
      </c>
      <c r="D22" s="7">
        <v>1.1</v>
      </c>
      <c r="E22" s="7">
        <f t="shared" si="0"/>
        <v>55</v>
      </c>
      <c r="F22" s="7" t="s">
        <v>22</v>
      </c>
    </row>
    <row r="23" spans="1:6">
      <c r="A23" s="7">
        <v>6525</v>
      </c>
      <c r="B23" s="22" t="s">
        <v>434</v>
      </c>
      <c r="C23" s="7">
        <v>50</v>
      </c>
      <c r="D23" s="7">
        <v>1.1</v>
      </c>
      <c r="E23" s="7">
        <f t="shared" si="0"/>
        <v>55</v>
      </c>
      <c r="F23" s="7" t="s">
        <v>22</v>
      </c>
    </row>
    <row r="24" spans="1:6">
      <c r="A24" s="7">
        <v>6521</v>
      </c>
      <c r="B24" s="22" t="s">
        <v>435</v>
      </c>
      <c r="C24" s="7">
        <v>50</v>
      </c>
      <c r="D24" s="7">
        <v>1.1</v>
      </c>
      <c r="E24" s="7">
        <f t="shared" si="0"/>
        <v>55</v>
      </c>
      <c r="F24" s="7" t="s">
        <v>22</v>
      </c>
    </row>
    <row r="25" spans="1:6">
      <c r="A25" s="7">
        <v>6523</v>
      </c>
      <c r="B25" s="22" t="s">
        <v>436</v>
      </c>
      <c r="C25" s="7">
        <v>50</v>
      </c>
      <c r="D25" s="7">
        <v>1.1</v>
      </c>
      <c r="E25" s="7">
        <f t="shared" si="0"/>
        <v>55</v>
      </c>
      <c r="F25" s="7" t="s">
        <v>22</v>
      </c>
    </row>
    <row r="26" spans="1:6">
      <c r="A26" s="7">
        <v>6524</v>
      </c>
      <c r="B26" s="22" t="s">
        <v>437</v>
      </c>
      <c r="C26" s="7">
        <v>50</v>
      </c>
      <c r="D26" s="7">
        <v>1.1</v>
      </c>
      <c r="E26" s="7">
        <f t="shared" si="0"/>
        <v>55</v>
      </c>
      <c r="F26" s="7" t="s">
        <v>22</v>
      </c>
    </row>
    <row r="27" spans="1:6">
      <c r="A27" s="7">
        <v>6526</v>
      </c>
      <c r="B27" s="22" t="s">
        <v>438</v>
      </c>
      <c r="C27" s="7">
        <v>50</v>
      </c>
      <c r="D27" s="7">
        <v>1.1</v>
      </c>
      <c r="E27" s="7">
        <f t="shared" si="0"/>
        <v>55</v>
      </c>
      <c r="F27" s="7" t="s">
        <v>22</v>
      </c>
    </row>
    <row r="28" spans="1:6">
      <c r="A28" s="7">
        <v>6513</v>
      </c>
      <c r="B28" s="22" t="s">
        <v>439</v>
      </c>
      <c r="C28" s="7">
        <v>50</v>
      </c>
      <c r="D28" s="7">
        <v>1.1</v>
      </c>
      <c r="E28" s="7">
        <f t="shared" si="0"/>
        <v>55</v>
      </c>
      <c r="F28" s="7" t="s">
        <v>22</v>
      </c>
    </row>
    <row r="29" spans="4:6">
      <c r="D29" s="7" t="s">
        <v>18</v>
      </c>
      <c r="E29" s="7">
        <f>SUM(E7:E28)</f>
        <v>1210</v>
      </c>
      <c r="F29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B18" sqref="B18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440</v>
      </c>
      <c r="B3" s="1"/>
      <c r="C3" s="1"/>
      <c r="D3" s="1" t="s">
        <v>415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6255</v>
      </c>
      <c r="B7" s="22" t="s">
        <v>418</v>
      </c>
      <c r="C7" s="7">
        <v>350</v>
      </c>
      <c r="D7" s="7">
        <v>1.1</v>
      </c>
      <c r="E7" s="7">
        <f t="shared" ref="E7:E28" si="0">C7*D7</f>
        <v>385</v>
      </c>
      <c r="F7" s="7" t="s">
        <v>22</v>
      </c>
    </row>
    <row r="8" spans="1:6">
      <c r="A8" s="7">
        <v>6602</v>
      </c>
      <c r="B8" s="22" t="s">
        <v>419</v>
      </c>
      <c r="C8" s="7">
        <v>350</v>
      </c>
      <c r="D8" s="7">
        <v>1.1</v>
      </c>
      <c r="E8" s="7">
        <f t="shared" si="0"/>
        <v>385</v>
      </c>
      <c r="F8" s="7" t="s">
        <v>22</v>
      </c>
    </row>
    <row r="9" spans="1:6">
      <c r="A9" s="7">
        <v>6603</v>
      </c>
      <c r="B9" s="22" t="s">
        <v>420</v>
      </c>
      <c r="C9" s="7">
        <v>350</v>
      </c>
      <c r="D9" s="7">
        <v>1.1</v>
      </c>
      <c r="E9" s="7">
        <f t="shared" si="0"/>
        <v>385</v>
      </c>
      <c r="F9" s="7" t="s">
        <v>22</v>
      </c>
    </row>
    <row r="10" spans="1:6">
      <c r="A10" s="7">
        <v>6604</v>
      </c>
      <c r="B10" s="22" t="s">
        <v>421</v>
      </c>
      <c r="C10" s="7">
        <v>350</v>
      </c>
      <c r="D10" s="7">
        <v>1.1</v>
      </c>
      <c r="E10" s="7">
        <f t="shared" si="0"/>
        <v>385</v>
      </c>
      <c r="F10" s="7" t="s">
        <v>22</v>
      </c>
    </row>
    <row r="11" spans="1:6">
      <c r="A11" s="7">
        <v>6605</v>
      </c>
      <c r="B11" s="22" t="s">
        <v>422</v>
      </c>
      <c r="C11" s="7">
        <v>350</v>
      </c>
      <c r="D11" s="7">
        <v>1.1</v>
      </c>
      <c r="E11" s="7">
        <f t="shared" si="0"/>
        <v>385</v>
      </c>
      <c r="F11" s="7" t="s">
        <v>22</v>
      </c>
    </row>
    <row r="12" spans="1:6">
      <c r="A12" s="7">
        <v>6419</v>
      </c>
      <c r="B12" s="22" t="s">
        <v>423</v>
      </c>
      <c r="C12" s="7">
        <v>350</v>
      </c>
      <c r="D12" s="7">
        <v>1.1</v>
      </c>
      <c r="E12" s="7">
        <f t="shared" si="0"/>
        <v>385</v>
      </c>
      <c r="F12" s="7" t="s">
        <v>78</v>
      </c>
    </row>
    <row r="13" spans="1:6">
      <c r="A13" s="7">
        <v>6437</v>
      </c>
      <c r="B13" s="22" t="s">
        <v>424</v>
      </c>
      <c r="C13" s="7">
        <v>350</v>
      </c>
      <c r="D13" s="7">
        <v>1.1</v>
      </c>
      <c r="E13" s="7">
        <f t="shared" si="0"/>
        <v>385</v>
      </c>
      <c r="F13" s="7" t="s">
        <v>78</v>
      </c>
    </row>
    <row r="14" spans="1:6">
      <c r="A14" s="7">
        <v>6440</v>
      </c>
      <c r="B14" s="22" t="s">
        <v>425</v>
      </c>
      <c r="C14" s="7">
        <v>350</v>
      </c>
      <c r="D14" s="7">
        <v>1.1</v>
      </c>
      <c r="E14" s="7">
        <f t="shared" si="0"/>
        <v>385</v>
      </c>
      <c r="F14" s="7" t="s">
        <v>78</v>
      </c>
    </row>
    <row r="15" spans="1:6">
      <c r="A15" s="7">
        <v>6428</v>
      </c>
      <c r="B15" s="22" t="s">
        <v>426</v>
      </c>
      <c r="C15" s="7">
        <v>350</v>
      </c>
      <c r="D15" s="7">
        <v>1.1</v>
      </c>
      <c r="E15" s="7">
        <f t="shared" si="0"/>
        <v>385</v>
      </c>
      <c r="F15" s="7" t="s">
        <v>78</v>
      </c>
    </row>
    <row r="16" spans="1:6">
      <c r="A16" s="7">
        <v>6438</v>
      </c>
      <c r="B16" s="22" t="s">
        <v>427</v>
      </c>
      <c r="C16" s="7">
        <v>350</v>
      </c>
      <c r="D16" s="7">
        <v>1.1</v>
      </c>
      <c r="E16" s="7">
        <f t="shared" si="0"/>
        <v>385</v>
      </c>
      <c r="F16" s="7" t="s">
        <v>78</v>
      </c>
    </row>
    <row r="17" spans="1:6">
      <c r="A17" s="7">
        <v>6444</v>
      </c>
      <c r="B17" s="22" t="s">
        <v>428</v>
      </c>
      <c r="C17" s="7">
        <v>350</v>
      </c>
      <c r="D17" s="7">
        <v>1.1</v>
      </c>
      <c r="E17" s="7">
        <f t="shared" si="0"/>
        <v>385</v>
      </c>
      <c r="F17" s="7" t="s">
        <v>78</v>
      </c>
    </row>
    <row r="18" spans="1:6">
      <c r="A18" s="7">
        <v>6390</v>
      </c>
      <c r="B18" s="22" t="s">
        <v>429</v>
      </c>
      <c r="C18" s="7">
        <v>350</v>
      </c>
      <c r="D18" s="7">
        <v>1.1</v>
      </c>
      <c r="E18" s="7">
        <f t="shared" si="0"/>
        <v>385</v>
      </c>
      <c r="F18" s="7" t="s">
        <v>22</v>
      </c>
    </row>
    <row r="19" spans="1:6">
      <c r="A19" s="7">
        <v>6392</v>
      </c>
      <c r="B19" s="22" t="s">
        <v>430</v>
      </c>
      <c r="C19" s="7">
        <v>350</v>
      </c>
      <c r="D19" s="7">
        <v>1.1</v>
      </c>
      <c r="E19" s="7">
        <f t="shared" si="0"/>
        <v>385</v>
      </c>
      <c r="F19" s="7" t="s">
        <v>22</v>
      </c>
    </row>
    <row r="20" spans="1:6">
      <c r="A20" s="7">
        <v>6391</v>
      </c>
      <c r="B20" s="22" t="s">
        <v>431</v>
      </c>
      <c r="C20" s="7">
        <v>350</v>
      </c>
      <c r="D20" s="7">
        <v>1.1</v>
      </c>
      <c r="E20" s="7">
        <f t="shared" si="0"/>
        <v>385</v>
      </c>
      <c r="F20" s="7" t="s">
        <v>22</v>
      </c>
    </row>
    <row r="21" spans="1:6">
      <c r="A21" s="7">
        <v>6519</v>
      </c>
      <c r="B21" s="22" t="s">
        <v>432</v>
      </c>
      <c r="C21" s="7">
        <v>350</v>
      </c>
      <c r="D21" s="7">
        <v>1.1</v>
      </c>
      <c r="E21" s="7">
        <f t="shared" si="0"/>
        <v>385</v>
      </c>
      <c r="F21" s="7" t="s">
        <v>22</v>
      </c>
    </row>
    <row r="22" spans="1:6">
      <c r="A22" s="7">
        <v>6522</v>
      </c>
      <c r="B22" s="22" t="s">
        <v>433</v>
      </c>
      <c r="C22" s="7">
        <v>350</v>
      </c>
      <c r="D22" s="7">
        <v>1.1</v>
      </c>
      <c r="E22" s="7">
        <f t="shared" si="0"/>
        <v>385</v>
      </c>
      <c r="F22" s="7" t="s">
        <v>22</v>
      </c>
    </row>
    <row r="23" spans="1:6">
      <c r="A23" s="7">
        <v>6525</v>
      </c>
      <c r="B23" s="22" t="s">
        <v>434</v>
      </c>
      <c r="C23" s="7">
        <v>350</v>
      </c>
      <c r="D23" s="7">
        <v>1.1</v>
      </c>
      <c r="E23" s="7">
        <f t="shared" si="0"/>
        <v>385</v>
      </c>
      <c r="F23" s="7" t="s">
        <v>22</v>
      </c>
    </row>
    <row r="24" spans="1:6">
      <c r="A24" s="7">
        <v>6521</v>
      </c>
      <c r="B24" s="22" t="s">
        <v>435</v>
      </c>
      <c r="C24" s="7">
        <v>350</v>
      </c>
      <c r="D24" s="7">
        <v>1.1</v>
      </c>
      <c r="E24" s="7">
        <f t="shared" si="0"/>
        <v>385</v>
      </c>
      <c r="F24" s="7" t="s">
        <v>22</v>
      </c>
    </row>
    <row r="25" spans="1:6">
      <c r="A25" s="7">
        <v>6523</v>
      </c>
      <c r="B25" s="22" t="s">
        <v>436</v>
      </c>
      <c r="C25" s="7">
        <v>350</v>
      </c>
      <c r="D25" s="7">
        <v>1.1</v>
      </c>
      <c r="E25" s="7">
        <f t="shared" si="0"/>
        <v>385</v>
      </c>
      <c r="F25" s="7" t="s">
        <v>22</v>
      </c>
    </row>
    <row r="26" spans="1:6">
      <c r="A26" s="7">
        <v>6524</v>
      </c>
      <c r="B26" s="22" t="s">
        <v>437</v>
      </c>
      <c r="C26" s="7">
        <v>350</v>
      </c>
      <c r="D26" s="7">
        <v>1.1</v>
      </c>
      <c r="E26" s="7">
        <f t="shared" si="0"/>
        <v>385</v>
      </c>
      <c r="F26" s="7" t="s">
        <v>22</v>
      </c>
    </row>
    <row r="27" spans="1:6">
      <c r="A27" s="7">
        <v>6526</v>
      </c>
      <c r="B27" s="22" t="s">
        <v>438</v>
      </c>
      <c r="C27" s="7">
        <v>350</v>
      </c>
      <c r="D27" s="7">
        <v>1.1</v>
      </c>
      <c r="E27" s="7">
        <f t="shared" si="0"/>
        <v>385</v>
      </c>
      <c r="F27" s="7" t="s">
        <v>22</v>
      </c>
    </row>
    <row r="28" spans="1:6">
      <c r="A28" s="7">
        <v>6513</v>
      </c>
      <c r="B28" s="22" t="s">
        <v>439</v>
      </c>
      <c r="C28" s="7">
        <v>350</v>
      </c>
      <c r="D28" s="7">
        <v>1.1</v>
      </c>
      <c r="E28" s="7">
        <f t="shared" si="0"/>
        <v>385</v>
      </c>
      <c r="F28" s="7" t="s">
        <v>22</v>
      </c>
    </row>
    <row r="29" spans="4:6">
      <c r="D29" s="7" t="s">
        <v>18</v>
      </c>
      <c r="E29" s="7">
        <f>SUM(E7:E28)</f>
        <v>8470</v>
      </c>
      <c r="F29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9" sqref="C9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441</v>
      </c>
      <c r="B3" s="1"/>
      <c r="C3" s="1"/>
      <c r="D3" s="1" t="s">
        <v>415</v>
      </c>
      <c r="E3" s="1"/>
      <c r="F3" s="1"/>
    </row>
    <row r="4" spans="1:6">
      <c r="A4" s="2" t="s">
        <v>69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6390</v>
      </c>
      <c r="B7" s="22" t="s">
        <v>429</v>
      </c>
      <c r="C7" s="7">
        <v>40</v>
      </c>
      <c r="D7" s="7">
        <v>1.1</v>
      </c>
      <c r="E7" s="7">
        <f t="shared" ref="E7:E9" si="0">C7*D7</f>
        <v>44</v>
      </c>
      <c r="F7" s="7" t="s">
        <v>22</v>
      </c>
    </row>
    <row r="8" spans="1:6">
      <c r="A8" s="7">
        <v>6392</v>
      </c>
      <c r="B8" s="22" t="s">
        <v>430</v>
      </c>
      <c r="C8" s="7">
        <v>40</v>
      </c>
      <c r="D8" s="7">
        <v>1.1</v>
      </c>
      <c r="E8" s="7">
        <f t="shared" si="0"/>
        <v>44</v>
      </c>
      <c r="F8" s="7" t="s">
        <v>22</v>
      </c>
    </row>
    <row r="9" spans="1:6">
      <c r="A9" s="7">
        <v>6391</v>
      </c>
      <c r="B9" s="22" t="s">
        <v>431</v>
      </c>
      <c r="C9" s="7">
        <v>40</v>
      </c>
      <c r="D9" s="7">
        <v>1.1</v>
      </c>
      <c r="E9" s="7">
        <f t="shared" si="0"/>
        <v>44</v>
      </c>
      <c r="F9" s="7" t="s">
        <v>22</v>
      </c>
    </row>
    <row r="10" spans="4:6">
      <c r="D10" s="7" t="s">
        <v>18</v>
      </c>
      <c r="E10" s="7">
        <f>SUM(E7:E9)</f>
        <v>132</v>
      </c>
      <c r="F10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12" sqref="E12"/>
    </sheetView>
  </sheetViews>
  <sheetFormatPr defaultColWidth="9" defaultRowHeight="14.25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442</v>
      </c>
      <c r="B3" s="1"/>
      <c r="C3" s="1"/>
      <c r="D3" s="1" t="s">
        <v>415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6473</v>
      </c>
      <c r="B7" s="22" t="s">
        <v>275</v>
      </c>
      <c r="C7" s="7">
        <v>560</v>
      </c>
      <c r="D7" s="7">
        <v>3039</v>
      </c>
      <c r="E7" s="7">
        <f t="shared" ref="E7:E15" si="0">C7*D7</f>
        <v>1701840</v>
      </c>
      <c r="F7" s="7" t="s">
        <v>13</v>
      </c>
    </row>
    <row r="8" spans="1:6">
      <c r="A8" s="7">
        <v>6474</v>
      </c>
      <c r="B8" s="22" t="s">
        <v>315</v>
      </c>
      <c r="C8" s="7">
        <v>560</v>
      </c>
      <c r="D8" s="7">
        <v>3039</v>
      </c>
      <c r="E8" s="7">
        <f t="shared" si="0"/>
        <v>1701840</v>
      </c>
      <c r="F8" s="7" t="s">
        <v>13</v>
      </c>
    </row>
    <row r="9" spans="1:6">
      <c r="A9" s="7">
        <v>6453</v>
      </c>
      <c r="B9" s="22" t="s">
        <v>252</v>
      </c>
      <c r="C9" s="7">
        <v>360</v>
      </c>
      <c r="D9" s="7">
        <v>3039</v>
      </c>
      <c r="E9" s="7">
        <f t="shared" si="0"/>
        <v>1094040</v>
      </c>
      <c r="F9" s="7" t="s">
        <v>189</v>
      </c>
    </row>
    <row r="10" spans="1:6">
      <c r="A10" s="7">
        <v>6500</v>
      </c>
      <c r="B10" s="22" t="s">
        <v>262</v>
      </c>
      <c r="C10" s="7">
        <v>460</v>
      </c>
      <c r="D10" s="7">
        <v>3039</v>
      </c>
      <c r="E10" s="7">
        <f t="shared" si="0"/>
        <v>1397940</v>
      </c>
      <c r="F10" s="7" t="s">
        <v>212</v>
      </c>
    </row>
    <row r="11" spans="1:6">
      <c r="A11" s="7">
        <v>6422</v>
      </c>
      <c r="B11" s="22" t="s">
        <v>355</v>
      </c>
      <c r="C11" s="7">
        <v>350</v>
      </c>
      <c r="D11" s="7">
        <v>3039</v>
      </c>
      <c r="E11" s="7">
        <f t="shared" si="0"/>
        <v>1063650</v>
      </c>
      <c r="F11" s="7" t="s">
        <v>22</v>
      </c>
    </row>
    <row r="12" spans="1:6">
      <c r="A12" s="7">
        <v>6413</v>
      </c>
      <c r="B12" s="22" t="s">
        <v>356</v>
      </c>
      <c r="C12" s="7">
        <v>350</v>
      </c>
      <c r="D12" s="7">
        <v>3039</v>
      </c>
      <c r="E12" s="7">
        <f t="shared" si="0"/>
        <v>1063650</v>
      </c>
      <c r="F12" s="7" t="s">
        <v>22</v>
      </c>
    </row>
    <row r="13" spans="1:6">
      <c r="A13" s="7">
        <v>6496</v>
      </c>
      <c r="B13" s="22" t="s">
        <v>318</v>
      </c>
      <c r="C13" s="7">
        <v>460</v>
      </c>
      <c r="D13" s="7">
        <v>3039</v>
      </c>
      <c r="E13" s="7">
        <f t="shared" si="0"/>
        <v>1397940</v>
      </c>
      <c r="F13" s="7" t="s">
        <v>212</v>
      </c>
    </row>
    <row r="14" spans="1:6">
      <c r="A14" s="7">
        <v>6206</v>
      </c>
      <c r="B14" s="22" t="s">
        <v>216</v>
      </c>
      <c r="C14" s="7">
        <v>560</v>
      </c>
      <c r="D14" s="7">
        <v>3039</v>
      </c>
      <c r="E14" s="7">
        <f t="shared" si="0"/>
        <v>1701840</v>
      </c>
      <c r="F14" s="7" t="s">
        <v>13</v>
      </c>
    </row>
    <row r="15" spans="1:6">
      <c r="A15" s="7">
        <v>6492</v>
      </c>
      <c r="B15" s="22" t="s">
        <v>344</v>
      </c>
      <c r="C15" s="7">
        <v>480</v>
      </c>
      <c r="D15" s="7">
        <v>3039</v>
      </c>
      <c r="E15" s="7">
        <f t="shared" si="0"/>
        <v>1458720</v>
      </c>
      <c r="F15" s="7" t="s">
        <v>212</v>
      </c>
    </row>
    <row r="16" spans="4:6">
      <c r="D16" s="7" t="s">
        <v>18</v>
      </c>
      <c r="E16" s="7">
        <f>SUM(E7:E15)</f>
        <v>12581460</v>
      </c>
      <c r="F16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2" sqref="E12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443</v>
      </c>
      <c r="B3" s="1"/>
      <c r="C3" s="1"/>
      <c r="D3" s="1" t="s">
        <v>415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6169</v>
      </c>
      <c r="B7" s="22" t="s">
        <v>444</v>
      </c>
      <c r="C7" s="7">
        <v>553</v>
      </c>
      <c r="D7" s="7">
        <v>2719</v>
      </c>
      <c r="E7" s="7">
        <f t="shared" ref="E7" si="0">C7*D7</f>
        <v>1503607</v>
      </c>
      <c r="F7" s="7" t="s">
        <v>266</v>
      </c>
    </row>
    <row r="8" spans="4:6">
      <c r="D8" s="7" t="s">
        <v>18</v>
      </c>
      <c r="E8" s="7">
        <f>SUM(E7:E7)</f>
        <v>1503607</v>
      </c>
      <c r="F8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11" sqref="D11"/>
    </sheetView>
  </sheetViews>
  <sheetFormatPr defaultColWidth="9" defaultRowHeight="14.25" outlineLevelRow="7" outlineLevelCol="5"/>
  <cols>
    <col min="5" max="5" width="12.441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445</v>
      </c>
      <c r="B3" s="1"/>
      <c r="C3" s="1"/>
      <c r="D3" s="1" t="s">
        <v>415</v>
      </c>
      <c r="E3" s="1"/>
      <c r="F3" s="1"/>
    </row>
    <row r="4" spans="1:6">
      <c r="A4" s="2" t="s">
        <v>56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 t="s">
        <v>57</v>
      </c>
      <c r="B7" s="22" t="s">
        <v>446</v>
      </c>
      <c r="C7" s="7">
        <v>200</v>
      </c>
      <c r="D7" s="7">
        <v>2710</v>
      </c>
      <c r="E7" s="7">
        <f t="shared" ref="E7" si="0">C7*D7</f>
        <v>542000</v>
      </c>
      <c r="F7" s="7" t="s">
        <v>447</v>
      </c>
    </row>
    <row r="8" spans="4:6">
      <c r="D8" s="7" t="s">
        <v>18</v>
      </c>
      <c r="E8" s="7">
        <f>SUM(E7:E7)</f>
        <v>542000</v>
      </c>
      <c r="F8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12" sqref="D12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448</v>
      </c>
      <c r="B3" s="1"/>
      <c r="C3" s="1"/>
      <c r="D3" s="1" t="s">
        <v>449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660</v>
      </c>
      <c r="B7" s="22" t="s">
        <v>74</v>
      </c>
      <c r="C7" s="7">
        <v>450</v>
      </c>
      <c r="D7" s="7">
        <v>2757</v>
      </c>
      <c r="E7" s="7">
        <f t="shared" ref="E7:E16" si="0">C7*D7</f>
        <v>1240650</v>
      </c>
      <c r="F7" s="7" t="s">
        <v>203</v>
      </c>
    </row>
    <row r="8" spans="1:6">
      <c r="A8" s="7">
        <v>6585</v>
      </c>
      <c r="B8" s="22" t="s">
        <v>450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6597</v>
      </c>
      <c r="B9" s="22" t="s">
        <v>23</v>
      </c>
      <c r="C9" s="7">
        <v>450</v>
      </c>
      <c r="D9" s="7">
        <v>2757</v>
      </c>
      <c r="E9" s="7">
        <f t="shared" si="0"/>
        <v>1240650</v>
      </c>
      <c r="F9" s="7" t="s">
        <v>451</v>
      </c>
    </row>
    <row r="10" spans="1:6">
      <c r="A10" s="7">
        <v>6547</v>
      </c>
      <c r="B10" s="22" t="s">
        <v>37</v>
      </c>
      <c r="C10" s="7">
        <v>500</v>
      </c>
      <c r="D10" s="7">
        <v>2757</v>
      </c>
      <c r="E10" s="7">
        <f t="shared" si="0"/>
        <v>1378500</v>
      </c>
      <c r="F10" s="7" t="s">
        <v>13</v>
      </c>
    </row>
    <row r="11" spans="1:6">
      <c r="A11" s="7">
        <v>6482</v>
      </c>
      <c r="B11" s="22" t="s">
        <v>32</v>
      </c>
      <c r="C11" s="7">
        <v>500</v>
      </c>
      <c r="D11" s="7">
        <v>2757</v>
      </c>
      <c r="E11" s="7">
        <f t="shared" si="0"/>
        <v>1378500</v>
      </c>
      <c r="F11" s="7" t="s">
        <v>13</v>
      </c>
    </row>
    <row r="12" spans="1:6">
      <c r="A12" s="7">
        <v>6485</v>
      </c>
      <c r="B12" s="22" t="s">
        <v>27</v>
      </c>
      <c r="C12" s="7">
        <v>500</v>
      </c>
      <c r="D12" s="7">
        <v>2757</v>
      </c>
      <c r="E12" s="7">
        <f t="shared" si="0"/>
        <v>1378500</v>
      </c>
      <c r="F12" s="7" t="s">
        <v>13</v>
      </c>
    </row>
    <row r="13" spans="1:6">
      <c r="A13" s="7">
        <v>6587</v>
      </c>
      <c r="B13" s="22" t="s">
        <v>452</v>
      </c>
      <c r="C13" s="7">
        <v>450</v>
      </c>
      <c r="D13" s="7">
        <v>2757</v>
      </c>
      <c r="E13" s="7">
        <f t="shared" si="0"/>
        <v>1240650</v>
      </c>
      <c r="F13" s="7" t="s">
        <v>13</v>
      </c>
    </row>
    <row r="14" spans="1:6">
      <c r="A14" s="7">
        <v>6601</v>
      </c>
      <c r="B14" s="22" t="s">
        <v>36</v>
      </c>
      <c r="C14" s="7">
        <v>450</v>
      </c>
      <c r="D14" s="7">
        <v>2757</v>
      </c>
      <c r="E14" s="7">
        <f t="shared" si="0"/>
        <v>1240650</v>
      </c>
      <c r="F14" s="7" t="s">
        <v>203</v>
      </c>
    </row>
    <row r="15" spans="1:6">
      <c r="A15" s="7" t="s">
        <v>453</v>
      </c>
      <c r="B15" s="22" t="s">
        <v>58</v>
      </c>
      <c r="C15" s="7">
        <v>100</v>
      </c>
      <c r="D15" s="7">
        <v>2757</v>
      </c>
      <c r="E15" s="7">
        <f t="shared" si="0"/>
        <v>275700</v>
      </c>
      <c r="F15" s="7" t="s">
        <v>453</v>
      </c>
    </row>
    <row r="16" spans="1:6">
      <c r="A16" s="7" t="s">
        <v>453</v>
      </c>
      <c r="B16" s="22" t="s">
        <v>454</v>
      </c>
      <c r="C16" s="7">
        <v>100</v>
      </c>
      <c r="D16" s="7">
        <v>2757</v>
      </c>
      <c r="E16" s="7">
        <f t="shared" si="0"/>
        <v>275700</v>
      </c>
      <c r="F16" s="7" t="s">
        <v>453</v>
      </c>
    </row>
    <row r="17" spans="4:6">
      <c r="D17" s="8" t="s">
        <v>18</v>
      </c>
      <c r="E17" s="8">
        <f>SUM(E7:E16)</f>
        <v>10890150</v>
      </c>
      <c r="F17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1" sqref="F11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455</v>
      </c>
      <c r="B3" s="1"/>
      <c r="C3" s="1"/>
      <c r="D3" s="1" t="s">
        <v>449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6406</v>
      </c>
      <c r="B7" s="22" t="s">
        <v>354</v>
      </c>
      <c r="C7" s="7">
        <v>100</v>
      </c>
      <c r="D7" s="7">
        <v>2855</v>
      </c>
      <c r="E7" s="7">
        <f t="shared" ref="E7:E8" si="0">C7*D7</f>
        <v>285500</v>
      </c>
      <c r="F7" s="7" t="s">
        <v>22</v>
      </c>
    </row>
    <row r="8" spans="1:6">
      <c r="A8" s="7">
        <v>6407</v>
      </c>
      <c r="B8" s="22" t="s">
        <v>353</v>
      </c>
      <c r="C8" s="7">
        <v>100</v>
      </c>
      <c r="D8" s="7">
        <v>2855</v>
      </c>
      <c r="E8" s="7">
        <f t="shared" si="0"/>
        <v>285500</v>
      </c>
      <c r="F8" s="7" t="s">
        <v>22</v>
      </c>
    </row>
    <row r="9" spans="4:6">
      <c r="D9" s="8" t="s">
        <v>18</v>
      </c>
      <c r="E9" s="8">
        <f>SUM(E7:E8)</f>
        <v>571000</v>
      </c>
      <c r="F9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E16" sqref="E16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456</v>
      </c>
      <c r="B3" s="1"/>
      <c r="C3" s="1"/>
      <c r="D3" s="1" t="s">
        <v>449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6491</v>
      </c>
      <c r="B7" s="22" t="s">
        <v>233</v>
      </c>
      <c r="C7" s="7">
        <v>480</v>
      </c>
      <c r="D7" s="7">
        <v>3039</v>
      </c>
      <c r="E7" s="7">
        <f t="shared" ref="E7:E23" si="0">C7*D7</f>
        <v>1458720</v>
      </c>
      <c r="F7" s="7" t="s">
        <v>212</v>
      </c>
    </row>
    <row r="8" spans="1:6">
      <c r="A8" s="7">
        <v>6497</v>
      </c>
      <c r="B8" s="22" t="s">
        <v>234</v>
      </c>
      <c r="C8" s="7">
        <v>460</v>
      </c>
      <c r="D8" s="7">
        <v>3039</v>
      </c>
      <c r="E8" s="7">
        <f t="shared" si="0"/>
        <v>1397940</v>
      </c>
      <c r="F8" s="7" t="s">
        <v>212</v>
      </c>
    </row>
    <row r="9" spans="1:6">
      <c r="A9" s="7">
        <v>6495</v>
      </c>
      <c r="B9" s="22" t="s">
        <v>235</v>
      </c>
      <c r="C9" s="7">
        <v>560</v>
      </c>
      <c r="D9" s="7">
        <v>3039</v>
      </c>
      <c r="E9" s="7">
        <f t="shared" si="0"/>
        <v>1701840</v>
      </c>
      <c r="F9" s="7" t="s">
        <v>212</v>
      </c>
    </row>
    <row r="10" spans="1:6">
      <c r="A10" s="7">
        <v>6231</v>
      </c>
      <c r="B10" s="22" t="s">
        <v>313</v>
      </c>
      <c r="C10" s="7">
        <v>360</v>
      </c>
      <c r="D10" s="7">
        <v>3039</v>
      </c>
      <c r="E10" s="7">
        <f t="shared" si="0"/>
        <v>1094040</v>
      </c>
      <c r="F10" s="7" t="s">
        <v>189</v>
      </c>
    </row>
    <row r="11" spans="1:6">
      <c r="A11" s="7">
        <v>6468</v>
      </c>
      <c r="B11" s="22" t="s">
        <v>308</v>
      </c>
      <c r="C11" s="7">
        <v>560</v>
      </c>
      <c r="D11" s="7">
        <v>3039</v>
      </c>
      <c r="E11" s="7">
        <f t="shared" si="0"/>
        <v>1701840</v>
      </c>
      <c r="F11" s="7" t="s">
        <v>13</v>
      </c>
    </row>
    <row r="12" spans="1:6">
      <c r="A12" s="7">
        <v>6501</v>
      </c>
      <c r="B12" s="22" t="s">
        <v>377</v>
      </c>
      <c r="C12" s="7">
        <v>460</v>
      </c>
      <c r="D12" s="7">
        <v>3039</v>
      </c>
      <c r="E12" s="7">
        <f t="shared" si="0"/>
        <v>1397940</v>
      </c>
      <c r="F12" s="7" t="s">
        <v>212</v>
      </c>
    </row>
    <row r="13" spans="1:6">
      <c r="A13" s="7">
        <v>6201</v>
      </c>
      <c r="B13" s="22" t="s">
        <v>195</v>
      </c>
      <c r="C13" s="7">
        <v>592</v>
      </c>
      <c r="D13" s="7">
        <v>3039</v>
      </c>
      <c r="E13" s="7">
        <f t="shared" si="0"/>
        <v>1799088</v>
      </c>
      <c r="F13" s="7" t="s">
        <v>13</v>
      </c>
    </row>
    <row r="14" spans="1:6">
      <c r="A14" s="7">
        <v>6471</v>
      </c>
      <c r="B14" s="22" t="s">
        <v>278</v>
      </c>
      <c r="C14" s="7">
        <v>560</v>
      </c>
      <c r="D14" s="7">
        <v>3039</v>
      </c>
      <c r="E14" s="7">
        <f t="shared" si="0"/>
        <v>1701840</v>
      </c>
      <c r="F14" s="7" t="s">
        <v>13</v>
      </c>
    </row>
    <row r="15" spans="1:6">
      <c r="A15" s="7">
        <v>6309</v>
      </c>
      <c r="B15" s="22" t="s">
        <v>343</v>
      </c>
      <c r="C15" s="7">
        <v>600</v>
      </c>
      <c r="D15" s="7">
        <v>3039</v>
      </c>
      <c r="E15" s="7">
        <f t="shared" si="0"/>
        <v>1823400</v>
      </c>
      <c r="F15" s="7" t="s">
        <v>13</v>
      </c>
    </row>
    <row r="16" spans="1:6">
      <c r="A16" s="7">
        <v>6214</v>
      </c>
      <c r="B16" s="22" t="s">
        <v>193</v>
      </c>
      <c r="C16" s="7">
        <v>585</v>
      </c>
      <c r="D16" s="7">
        <v>3039</v>
      </c>
      <c r="E16" s="7">
        <f t="shared" si="0"/>
        <v>1777815</v>
      </c>
      <c r="F16" s="7" t="s">
        <v>13</v>
      </c>
    </row>
    <row r="17" spans="1:6">
      <c r="A17" s="7">
        <v>6192</v>
      </c>
      <c r="B17" s="22" t="s">
        <v>260</v>
      </c>
      <c r="C17" s="7">
        <v>560</v>
      </c>
      <c r="D17" s="7">
        <v>3039</v>
      </c>
      <c r="E17" s="7">
        <f t="shared" si="0"/>
        <v>1701840</v>
      </c>
      <c r="F17" s="7" t="s">
        <v>13</v>
      </c>
    </row>
    <row r="18" spans="1:6">
      <c r="A18" s="7">
        <v>6180</v>
      </c>
      <c r="B18" s="22" t="s">
        <v>101</v>
      </c>
      <c r="C18" s="7">
        <v>520</v>
      </c>
      <c r="D18" s="7">
        <v>3039</v>
      </c>
      <c r="E18" s="7">
        <f t="shared" si="0"/>
        <v>1580280</v>
      </c>
      <c r="F18" s="7" t="s">
        <v>266</v>
      </c>
    </row>
    <row r="19" spans="1:6">
      <c r="A19" s="7">
        <v>6461</v>
      </c>
      <c r="B19" s="22" t="s">
        <v>324</v>
      </c>
      <c r="C19" s="7">
        <v>560</v>
      </c>
      <c r="D19" s="7">
        <v>3039</v>
      </c>
      <c r="E19" s="7">
        <f t="shared" si="0"/>
        <v>1701840</v>
      </c>
      <c r="F19" s="7" t="s">
        <v>13</v>
      </c>
    </row>
    <row r="20" spans="1:6">
      <c r="A20" s="7">
        <v>6493</v>
      </c>
      <c r="B20" s="22" t="s">
        <v>323</v>
      </c>
      <c r="C20" s="7">
        <v>460</v>
      </c>
      <c r="D20" s="7">
        <v>3039</v>
      </c>
      <c r="E20" s="7">
        <f t="shared" si="0"/>
        <v>1397940</v>
      </c>
      <c r="F20" s="7" t="s">
        <v>212</v>
      </c>
    </row>
    <row r="21" spans="1:6">
      <c r="A21" s="7">
        <v>6465</v>
      </c>
      <c r="B21" s="22" t="s">
        <v>322</v>
      </c>
      <c r="C21" s="7">
        <v>600</v>
      </c>
      <c r="D21" s="7">
        <v>3039</v>
      </c>
      <c r="E21" s="7">
        <f t="shared" si="0"/>
        <v>1823400</v>
      </c>
      <c r="F21" s="7" t="s">
        <v>13</v>
      </c>
    </row>
    <row r="22" spans="1:6">
      <c r="A22" s="7">
        <v>6494</v>
      </c>
      <c r="B22" s="22" t="s">
        <v>378</v>
      </c>
      <c r="C22" s="7">
        <v>460</v>
      </c>
      <c r="D22" s="7">
        <v>3039</v>
      </c>
      <c r="E22" s="7">
        <f t="shared" si="0"/>
        <v>1397940</v>
      </c>
      <c r="F22" s="7" t="s">
        <v>212</v>
      </c>
    </row>
    <row r="23" spans="1:6">
      <c r="A23" s="7">
        <v>6185</v>
      </c>
      <c r="B23" s="22" t="s">
        <v>320</v>
      </c>
      <c r="C23" s="7">
        <v>560</v>
      </c>
      <c r="D23" s="7">
        <v>3039</v>
      </c>
      <c r="E23" s="7">
        <f t="shared" si="0"/>
        <v>1701840</v>
      </c>
      <c r="F23" s="7" t="s">
        <v>266</v>
      </c>
    </row>
    <row r="24" spans="4:6">
      <c r="D24" s="8" t="s">
        <v>18</v>
      </c>
      <c r="E24" s="8">
        <f>SUM(E7:E23)</f>
        <v>27159543</v>
      </c>
      <c r="F24" s="21"/>
    </row>
  </sheetData>
  <mergeCells count="6">
    <mergeCell ref="A3:C3"/>
    <mergeCell ref="D3:F3"/>
    <mergeCell ref="A4:C4"/>
    <mergeCell ref="D4:F4"/>
    <mergeCell ref="A5:F5"/>
    <mergeCell ref="A1:F2"/>
  </mergeCells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C15" sqref="C15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457</v>
      </c>
      <c r="B3" s="1"/>
      <c r="C3" s="1"/>
      <c r="D3" s="1" t="s">
        <v>449</v>
      </c>
      <c r="E3" s="1"/>
      <c r="F3" s="1"/>
    </row>
    <row r="4" spans="1:6">
      <c r="A4" s="2" t="s">
        <v>76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6625</v>
      </c>
      <c r="B7" s="22" t="s">
        <v>458</v>
      </c>
      <c r="C7" s="7">
        <v>50</v>
      </c>
      <c r="D7" s="7">
        <v>1.1</v>
      </c>
      <c r="E7" s="7">
        <f t="shared" ref="E7:E30" si="0">C7*D7</f>
        <v>55</v>
      </c>
      <c r="F7" s="7" t="s">
        <v>22</v>
      </c>
    </row>
    <row r="8" spans="1:6">
      <c r="A8" s="7">
        <v>6627</v>
      </c>
      <c r="B8" s="22" t="s">
        <v>459</v>
      </c>
      <c r="C8" s="7">
        <v>50</v>
      </c>
      <c r="D8" s="7">
        <v>1.1</v>
      </c>
      <c r="E8" s="7">
        <f t="shared" si="0"/>
        <v>55</v>
      </c>
      <c r="F8" s="7" t="s">
        <v>22</v>
      </c>
    </row>
    <row r="9" spans="1:6">
      <c r="A9" s="7">
        <v>6628</v>
      </c>
      <c r="B9" s="22" t="s">
        <v>460</v>
      </c>
      <c r="C9" s="7">
        <v>50</v>
      </c>
      <c r="D9" s="7">
        <v>1.1</v>
      </c>
      <c r="E9" s="7">
        <f t="shared" si="0"/>
        <v>55</v>
      </c>
      <c r="F9" s="7" t="s">
        <v>22</v>
      </c>
    </row>
    <row r="10" spans="1:6">
      <c r="A10" s="7">
        <v>6393</v>
      </c>
      <c r="B10" s="22" t="s">
        <v>461</v>
      </c>
      <c r="C10" s="7">
        <v>50</v>
      </c>
      <c r="D10" s="7">
        <v>1.1</v>
      </c>
      <c r="E10" s="7">
        <f t="shared" si="0"/>
        <v>55</v>
      </c>
      <c r="F10" s="7" t="s">
        <v>22</v>
      </c>
    </row>
    <row r="11" spans="1:6">
      <c r="A11" s="7">
        <v>6520</v>
      </c>
      <c r="B11" s="22" t="s">
        <v>462</v>
      </c>
      <c r="C11" s="7">
        <v>50</v>
      </c>
      <c r="D11" s="7">
        <v>1.1</v>
      </c>
      <c r="E11" s="7">
        <f t="shared" si="0"/>
        <v>55</v>
      </c>
      <c r="F11" s="7" t="s">
        <v>22</v>
      </c>
    </row>
    <row r="12" spans="1:6">
      <c r="A12" s="7">
        <v>6503</v>
      </c>
      <c r="B12" s="22" t="s">
        <v>463</v>
      </c>
      <c r="C12" s="7">
        <v>50</v>
      </c>
      <c r="D12" s="7">
        <v>1.1</v>
      </c>
      <c r="E12" s="7">
        <f t="shared" si="0"/>
        <v>55</v>
      </c>
      <c r="F12" s="7" t="s">
        <v>22</v>
      </c>
    </row>
    <row r="13" spans="1:6">
      <c r="A13" s="7">
        <v>6504</v>
      </c>
      <c r="B13" s="22" t="s">
        <v>464</v>
      </c>
      <c r="C13" s="7">
        <v>50</v>
      </c>
      <c r="D13" s="7">
        <v>1.1</v>
      </c>
      <c r="E13" s="7">
        <f t="shared" si="0"/>
        <v>55</v>
      </c>
      <c r="F13" s="7" t="s">
        <v>22</v>
      </c>
    </row>
    <row r="14" spans="1:6">
      <c r="A14" s="7">
        <v>6502</v>
      </c>
      <c r="B14" s="22" t="s">
        <v>465</v>
      </c>
      <c r="C14" s="7">
        <v>50</v>
      </c>
      <c r="D14" s="7">
        <v>1.1</v>
      </c>
      <c r="E14" s="7">
        <f t="shared" si="0"/>
        <v>55</v>
      </c>
      <c r="F14" s="7" t="s">
        <v>22</v>
      </c>
    </row>
    <row r="15" spans="1:6">
      <c r="A15" s="7">
        <v>6531</v>
      </c>
      <c r="B15" s="22" t="s">
        <v>466</v>
      </c>
      <c r="C15" s="7">
        <v>50</v>
      </c>
      <c r="D15" s="7">
        <v>1.1</v>
      </c>
      <c r="E15" s="7">
        <f t="shared" si="0"/>
        <v>55</v>
      </c>
      <c r="F15" s="7" t="s">
        <v>22</v>
      </c>
    </row>
    <row r="16" spans="1:6">
      <c r="A16" s="7">
        <v>6533</v>
      </c>
      <c r="B16" s="22" t="s">
        <v>467</v>
      </c>
      <c r="C16" s="7">
        <v>50</v>
      </c>
      <c r="D16" s="7">
        <v>1.1</v>
      </c>
      <c r="E16" s="7">
        <f t="shared" si="0"/>
        <v>55</v>
      </c>
      <c r="F16" s="7" t="s">
        <v>22</v>
      </c>
    </row>
    <row r="17" spans="1:6">
      <c r="A17" s="7">
        <v>6535</v>
      </c>
      <c r="B17" s="22" t="s">
        <v>468</v>
      </c>
      <c r="C17" s="7">
        <v>50</v>
      </c>
      <c r="D17" s="7">
        <v>1.1</v>
      </c>
      <c r="E17" s="7">
        <f t="shared" si="0"/>
        <v>55</v>
      </c>
      <c r="F17" s="7" t="s">
        <v>22</v>
      </c>
    </row>
    <row r="18" spans="1:6">
      <c r="A18" s="7">
        <v>6537</v>
      </c>
      <c r="B18" s="22" t="s">
        <v>469</v>
      </c>
      <c r="C18" s="7">
        <v>50</v>
      </c>
      <c r="D18" s="7">
        <v>1.1</v>
      </c>
      <c r="E18" s="7">
        <f t="shared" si="0"/>
        <v>55</v>
      </c>
      <c r="F18" s="7" t="s">
        <v>22</v>
      </c>
    </row>
    <row r="19" spans="1:6">
      <c r="A19" s="7">
        <v>6539</v>
      </c>
      <c r="B19" s="22" t="s">
        <v>470</v>
      </c>
      <c r="C19" s="7">
        <v>50</v>
      </c>
      <c r="D19" s="7">
        <v>1.1</v>
      </c>
      <c r="E19" s="7">
        <f t="shared" si="0"/>
        <v>55</v>
      </c>
      <c r="F19" s="7" t="s">
        <v>22</v>
      </c>
    </row>
    <row r="20" spans="1:6">
      <c r="A20" s="7">
        <v>6527</v>
      </c>
      <c r="B20" s="22" t="s">
        <v>471</v>
      </c>
      <c r="C20" s="7">
        <v>50</v>
      </c>
      <c r="D20" s="7">
        <v>1.1</v>
      </c>
      <c r="E20" s="7">
        <f t="shared" si="0"/>
        <v>55</v>
      </c>
      <c r="F20" s="7" t="s">
        <v>22</v>
      </c>
    </row>
    <row r="21" spans="1:6">
      <c r="A21" s="7">
        <v>6424</v>
      </c>
      <c r="B21" s="22" t="s">
        <v>472</v>
      </c>
      <c r="C21" s="7">
        <v>50</v>
      </c>
      <c r="D21" s="7">
        <v>1.1</v>
      </c>
      <c r="E21" s="7">
        <f t="shared" si="0"/>
        <v>55</v>
      </c>
      <c r="F21" s="7" t="s">
        <v>78</v>
      </c>
    </row>
    <row r="22" spans="1:6">
      <c r="A22" s="7">
        <v>6425</v>
      </c>
      <c r="B22" s="22" t="s">
        <v>473</v>
      </c>
      <c r="C22" s="7">
        <v>50</v>
      </c>
      <c r="D22" s="7">
        <v>1.1</v>
      </c>
      <c r="E22" s="7">
        <f t="shared" si="0"/>
        <v>55</v>
      </c>
      <c r="F22" s="7" t="s">
        <v>78</v>
      </c>
    </row>
    <row r="23" spans="1:6">
      <c r="A23" s="7">
        <v>6434</v>
      </c>
      <c r="B23" s="22" t="s">
        <v>474</v>
      </c>
      <c r="C23" s="7">
        <v>50</v>
      </c>
      <c r="D23" s="7">
        <v>1.1</v>
      </c>
      <c r="E23" s="7">
        <f t="shared" si="0"/>
        <v>55</v>
      </c>
      <c r="F23" s="7" t="s">
        <v>78</v>
      </c>
    </row>
    <row r="24" spans="1:6">
      <c r="A24" s="7">
        <v>6439</v>
      </c>
      <c r="B24" s="22" t="s">
        <v>475</v>
      </c>
      <c r="C24" s="7">
        <v>50</v>
      </c>
      <c r="D24" s="7">
        <v>1.1</v>
      </c>
      <c r="E24" s="7">
        <f t="shared" si="0"/>
        <v>55</v>
      </c>
      <c r="F24" s="7" t="s">
        <v>78</v>
      </c>
    </row>
    <row r="25" spans="1:6">
      <c r="A25" s="7">
        <v>6429</v>
      </c>
      <c r="B25" s="22" t="s">
        <v>476</v>
      </c>
      <c r="C25" s="7">
        <v>50</v>
      </c>
      <c r="D25" s="7">
        <v>1.1</v>
      </c>
      <c r="E25" s="7">
        <f t="shared" si="0"/>
        <v>55</v>
      </c>
      <c r="F25" s="7" t="s">
        <v>78</v>
      </c>
    </row>
    <row r="26" spans="1:6">
      <c r="A26" s="7">
        <v>6443</v>
      </c>
      <c r="B26" s="22" t="s">
        <v>477</v>
      </c>
      <c r="C26" s="7">
        <v>50</v>
      </c>
      <c r="D26" s="7">
        <v>1.1</v>
      </c>
      <c r="E26" s="7">
        <f t="shared" si="0"/>
        <v>55</v>
      </c>
      <c r="F26" s="7" t="s">
        <v>78</v>
      </c>
    </row>
    <row r="27" spans="1:6">
      <c r="A27" s="7">
        <v>6441</v>
      </c>
      <c r="B27" s="22" t="s">
        <v>478</v>
      </c>
      <c r="C27" s="7">
        <v>50</v>
      </c>
      <c r="D27" s="7">
        <v>1.1</v>
      </c>
      <c r="E27" s="7">
        <f t="shared" si="0"/>
        <v>55</v>
      </c>
      <c r="F27" s="7" t="s">
        <v>78</v>
      </c>
    </row>
    <row r="28" spans="1:6">
      <c r="A28" s="7">
        <v>6448</v>
      </c>
      <c r="B28" s="22" t="s">
        <v>479</v>
      </c>
      <c r="C28" s="7">
        <v>50</v>
      </c>
      <c r="D28" s="7">
        <v>1.1</v>
      </c>
      <c r="E28" s="7">
        <f t="shared" si="0"/>
        <v>55</v>
      </c>
      <c r="F28" s="7" t="s">
        <v>78</v>
      </c>
    </row>
    <row r="29" spans="1:6">
      <c r="A29" s="7">
        <v>6447</v>
      </c>
      <c r="B29" s="22" t="s">
        <v>480</v>
      </c>
      <c r="C29" s="7">
        <v>50</v>
      </c>
      <c r="D29" s="7">
        <v>1.1</v>
      </c>
      <c r="E29" s="7">
        <f t="shared" si="0"/>
        <v>55</v>
      </c>
      <c r="F29" s="7" t="s">
        <v>78</v>
      </c>
    </row>
    <row r="30" spans="1:6">
      <c r="A30" s="7">
        <v>6445</v>
      </c>
      <c r="B30" s="22" t="s">
        <v>481</v>
      </c>
      <c r="C30" s="7">
        <v>50</v>
      </c>
      <c r="D30" s="7">
        <v>1.1</v>
      </c>
      <c r="E30" s="7">
        <f t="shared" si="0"/>
        <v>55</v>
      </c>
      <c r="F30" s="7" t="s">
        <v>78</v>
      </c>
    </row>
    <row r="31" spans="3:5">
      <c r="C31" s="7" t="s">
        <v>18</v>
      </c>
      <c r="D31" s="7"/>
      <c r="E31" s="7">
        <f>SUM(E7:E30)</f>
        <v>1320</v>
      </c>
    </row>
  </sheetData>
  <mergeCells count="7">
    <mergeCell ref="A3:C3"/>
    <mergeCell ref="D3:F3"/>
    <mergeCell ref="A4:C4"/>
    <mergeCell ref="D4:F4"/>
    <mergeCell ref="A5:F5"/>
    <mergeCell ref="C31:D31"/>
    <mergeCell ref="A1:F2"/>
  </mergeCells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E18" sqref="E18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482</v>
      </c>
      <c r="B3" s="1"/>
      <c r="C3" s="1"/>
      <c r="D3" s="1" t="s">
        <v>449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6625</v>
      </c>
      <c r="B7" s="22" t="s">
        <v>458</v>
      </c>
      <c r="C7" s="7">
        <v>350</v>
      </c>
      <c r="D7" s="7">
        <v>1.1</v>
      </c>
      <c r="E7" s="7">
        <f t="shared" ref="E7:E30" si="0">C7*D7</f>
        <v>385</v>
      </c>
      <c r="F7" s="7" t="s">
        <v>22</v>
      </c>
    </row>
    <row r="8" spans="1:6">
      <c r="A8" s="7">
        <v>6627</v>
      </c>
      <c r="B8" s="22" t="s">
        <v>459</v>
      </c>
      <c r="C8" s="7">
        <v>350</v>
      </c>
      <c r="D8" s="7">
        <v>1.1</v>
      </c>
      <c r="E8" s="7">
        <f t="shared" si="0"/>
        <v>385</v>
      </c>
      <c r="F8" s="7" t="s">
        <v>22</v>
      </c>
    </row>
    <row r="9" spans="1:6">
      <c r="A9" s="7">
        <v>6628</v>
      </c>
      <c r="B9" s="22" t="s">
        <v>460</v>
      </c>
      <c r="C9" s="7">
        <v>350</v>
      </c>
      <c r="D9" s="7">
        <v>1.1</v>
      </c>
      <c r="E9" s="7">
        <f t="shared" si="0"/>
        <v>385</v>
      </c>
      <c r="F9" s="7" t="s">
        <v>22</v>
      </c>
    </row>
    <row r="10" spans="1:6">
      <c r="A10" s="7">
        <v>6393</v>
      </c>
      <c r="B10" s="22" t="s">
        <v>461</v>
      </c>
      <c r="C10" s="7">
        <v>350</v>
      </c>
      <c r="D10" s="7">
        <v>1.1</v>
      </c>
      <c r="E10" s="7">
        <f t="shared" si="0"/>
        <v>385</v>
      </c>
      <c r="F10" s="7" t="s">
        <v>22</v>
      </c>
    </row>
    <row r="11" spans="1:6">
      <c r="A11" s="7">
        <v>6520</v>
      </c>
      <c r="B11" s="22" t="s">
        <v>462</v>
      </c>
      <c r="C11" s="7">
        <v>350</v>
      </c>
      <c r="D11" s="7">
        <v>1.1</v>
      </c>
      <c r="E11" s="7">
        <f t="shared" si="0"/>
        <v>385</v>
      </c>
      <c r="F11" s="7" t="s">
        <v>22</v>
      </c>
    </row>
    <row r="12" spans="1:6">
      <c r="A12" s="7">
        <v>6503</v>
      </c>
      <c r="B12" s="22" t="s">
        <v>463</v>
      </c>
      <c r="C12" s="7">
        <v>350</v>
      </c>
      <c r="D12" s="7">
        <v>1.1</v>
      </c>
      <c r="E12" s="7">
        <f t="shared" si="0"/>
        <v>385</v>
      </c>
      <c r="F12" s="7" t="s">
        <v>22</v>
      </c>
    </row>
    <row r="13" spans="1:6">
      <c r="A13" s="7">
        <v>6504</v>
      </c>
      <c r="B13" s="22" t="s">
        <v>464</v>
      </c>
      <c r="C13" s="7">
        <v>350</v>
      </c>
      <c r="D13" s="7">
        <v>1.1</v>
      </c>
      <c r="E13" s="7">
        <f t="shared" si="0"/>
        <v>385</v>
      </c>
      <c r="F13" s="7" t="s">
        <v>22</v>
      </c>
    </row>
    <row r="14" spans="1:6">
      <c r="A14" s="7">
        <v>6502</v>
      </c>
      <c r="B14" s="22" t="s">
        <v>465</v>
      </c>
      <c r="C14" s="7">
        <v>350</v>
      </c>
      <c r="D14" s="7">
        <v>1.1</v>
      </c>
      <c r="E14" s="7">
        <f t="shared" si="0"/>
        <v>385</v>
      </c>
      <c r="F14" s="7" t="s">
        <v>22</v>
      </c>
    </row>
    <row r="15" spans="1:6">
      <c r="A15" s="7">
        <v>6531</v>
      </c>
      <c r="B15" s="22" t="s">
        <v>466</v>
      </c>
      <c r="C15" s="7">
        <v>350</v>
      </c>
      <c r="D15" s="7">
        <v>1.1</v>
      </c>
      <c r="E15" s="7">
        <f t="shared" si="0"/>
        <v>385</v>
      </c>
      <c r="F15" s="7" t="s">
        <v>22</v>
      </c>
    </row>
    <row r="16" spans="1:6">
      <c r="A16" s="7">
        <v>6533</v>
      </c>
      <c r="B16" s="22" t="s">
        <v>467</v>
      </c>
      <c r="C16" s="7">
        <v>350</v>
      </c>
      <c r="D16" s="7">
        <v>1.1</v>
      </c>
      <c r="E16" s="7">
        <f t="shared" si="0"/>
        <v>385</v>
      </c>
      <c r="F16" s="7" t="s">
        <v>22</v>
      </c>
    </row>
    <row r="17" spans="1:6">
      <c r="A17" s="7">
        <v>6535</v>
      </c>
      <c r="B17" s="22" t="s">
        <v>468</v>
      </c>
      <c r="C17" s="7">
        <v>350</v>
      </c>
      <c r="D17" s="7">
        <v>1.1</v>
      </c>
      <c r="E17" s="7">
        <f t="shared" si="0"/>
        <v>385</v>
      </c>
      <c r="F17" s="7" t="s">
        <v>22</v>
      </c>
    </row>
    <row r="18" spans="1:6">
      <c r="A18" s="7">
        <v>6537</v>
      </c>
      <c r="B18" s="22" t="s">
        <v>469</v>
      </c>
      <c r="C18" s="7">
        <v>350</v>
      </c>
      <c r="D18" s="7">
        <v>1.1</v>
      </c>
      <c r="E18" s="7">
        <f t="shared" si="0"/>
        <v>385</v>
      </c>
      <c r="F18" s="7" t="s">
        <v>22</v>
      </c>
    </row>
    <row r="19" spans="1:6">
      <c r="A19" s="7">
        <v>6539</v>
      </c>
      <c r="B19" s="22" t="s">
        <v>470</v>
      </c>
      <c r="C19" s="7">
        <v>350</v>
      </c>
      <c r="D19" s="7">
        <v>1.1</v>
      </c>
      <c r="E19" s="7">
        <f t="shared" si="0"/>
        <v>385</v>
      </c>
      <c r="F19" s="7" t="s">
        <v>22</v>
      </c>
    </row>
    <row r="20" spans="1:6">
      <c r="A20" s="7">
        <v>6527</v>
      </c>
      <c r="B20" s="22" t="s">
        <v>471</v>
      </c>
      <c r="C20" s="7">
        <v>350</v>
      </c>
      <c r="D20" s="7">
        <v>1.1</v>
      </c>
      <c r="E20" s="7">
        <f t="shared" si="0"/>
        <v>385</v>
      </c>
      <c r="F20" s="7" t="s">
        <v>22</v>
      </c>
    </row>
    <row r="21" spans="1:6">
      <c r="A21" s="7">
        <v>6424</v>
      </c>
      <c r="B21" s="22" t="s">
        <v>472</v>
      </c>
      <c r="C21" s="7">
        <v>350</v>
      </c>
      <c r="D21" s="7">
        <v>1.1</v>
      </c>
      <c r="E21" s="7">
        <f t="shared" si="0"/>
        <v>385</v>
      </c>
      <c r="F21" s="7" t="s">
        <v>78</v>
      </c>
    </row>
    <row r="22" spans="1:6">
      <c r="A22" s="7">
        <v>6425</v>
      </c>
      <c r="B22" s="22" t="s">
        <v>473</v>
      </c>
      <c r="C22" s="7">
        <v>350</v>
      </c>
      <c r="D22" s="7">
        <v>1.1</v>
      </c>
      <c r="E22" s="7">
        <f t="shared" si="0"/>
        <v>385</v>
      </c>
      <c r="F22" s="7" t="s">
        <v>78</v>
      </c>
    </row>
    <row r="23" spans="1:6">
      <c r="A23" s="7">
        <v>6434</v>
      </c>
      <c r="B23" s="22" t="s">
        <v>474</v>
      </c>
      <c r="C23" s="7">
        <v>350</v>
      </c>
      <c r="D23" s="7">
        <v>1.1</v>
      </c>
      <c r="E23" s="7">
        <f t="shared" si="0"/>
        <v>385</v>
      </c>
      <c r="F23" s="7" t="s">
        <v>78</v>
      </c>
    </row>
    <row r="24" spans="1:6">
      <c r="A24" s="7">
        <v>6439</v>
      </c>
      <c r="B24" s="22" t="s">
        <v>475</v>
      </c>
      <c r="C24" s="7">
        <v>350</v>
      </c>
      <c r="D24" s="7">
        <v>1.1</v>
      </c>
      <c r="E24" s="7">
        <f t="shared" si="0"/>
        <v>385</v>
      </c>
      <c r="F24" s="7" t="s">
        <v>78</v>
      </c>
    </row>
    <row r="25" spans="1:6">
      <c r="A25" s="7">
        <v>6429</v>
      </c>
      <c r="B25" s="22" t="s">
        <v>476</v>
      </c>
      <c r="C25" s="7">
        <v>350</v>
      </c>
      <c r="D25" s="7">
        <v>1.1</v>
      </c>
      <c r="E25" s="7">
        <f t="shared" si="0"/>
        <v>385</v>
      </c>
      <c r="F25" s="7" t="s">
        <v>78</v>
      </c>
    </row>
    <row r="26" spans="1:6">
      <c r="A26" s="7">
        <v>6443</v>
      </c>
      <c r="B26" s="22" t="s">
        <v>477</v>
      </c>
      <c r="C26" s="7">
        <v>350</v>
      </c>
      <c r="D26" s="7">
        <v>1.1</v>
      </c>
      <c r="E26" s="7">
        <f t="shared" si="0"/>
        <v>385</v>
      </c>
      <c r="F26" s="7" t="s">
        <v>78</v>
      </c>
    </row>
    <row r="27" spans="1:6">
      <c r="A27" s="7">
        <v>6441</v>
      </c>
      <c r="B27" s="22" t="s">
        <v>478</v>
      </c>
      <c r="C27" s="7">
        <v>350</v>
      </c>
      <c r="D27" s="7">
        <v>1.1</v>
      </c>
      <c r="E27" s="7">
        <f t="shared" si="0"/>
        <v>385</v>
      </c>
      <c r="F27" s="7" t="s">
        <v>78</v>
      </c>
    </row>
    <row r="28" spans="1:6">
      <c r="A28" s="7">
        <v>6448</v>
      </c>
      <c r="B28" s="22" t="s">
        <v>479</v>
      </c>
      <c r="C28" s="7">
        <v>350</v>
      </c>
      <c r="D28" s="7">
        <v>1.1</v>
      </c>
      <c r="E28" s="7">
        <f t="shared" si="0"/>
        <v>385</v>
      </c>
      <c r="F28" s="7" t="s">
        <v>78</v>
      </c>
    </row>
    <row r="29" spans="1:6">
      <c r="A29" s="7">
        <v>6447</v>
      </c>
      <c r="B29" s="22" t="s">
        <v>480</v>
      </c>
      <c r="C29" s="7">
        <v>350</v>
      </c>
      <c r="D29" s="7">
        <v>1.1</v>
      </c>
      <c r="E29" s="7">
        <f t="shared" si="0"/>
        <v>385</v>
      </c>
      <c r="F29" s="7" t="s">
        <v>78</v>
      </c>
    </row>
    <row r="30" spans="1:6">
      <c r="A30" s="7">
        <v>6445</v>
      </c>
      <c r="B30" s="22" t="s">
        <v>481</v>
      </c>
      <c r="C30" s="7">
        <v>350</v>
      </c>
      <c r="D30" s="7">
        <v>1.1</v>
      </c>
      <c r="E30" s="7">
        <f t="shared" si="0"/>
        <v>385</v>
      </c>
      <c r="F30" s="7" t="s">
        <v>78</v>
      </c>
    </row>
    <row r="31" spans="3:5">
      <c r="C31" s="7" t="s">
        <v>18</v>
      </c>
      <c r="D31" s="7"/>
      <c r="E31" s="7">
        <f>SUM(E7:E30)</f>
        <v>9240</v>
      </c>
    </row>
  </sheetData>
  <mergeCells count="7">
    <mergeCell ref="A3:C3"/>
    <mergeCell ref="D3:F3"/>
    <mergeCell ref="A4:C4"/>
    <mergeCell ref="D4:F4"/>
    <mergeCell ref="A5:F5"/>
    <mergeCell ref="C31:D31"/>
    <mergeCell ref="A1:F2"/>
  </mergeCells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6" sqref="E6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483</v>
      </c>
      <c r="B3" s="1"/>
      <c r="C3" s="1"/>
      <c r="D3" s="1" t="s">
        <v>449</v>
      </c>
      <c r="E3" s="1"/>
      <c r="F3" s="1"/>
    </row>
    <row r="4" spans="1:6">
      <c r="A4" s="2" t="s">
        <v>69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6393</v>
      </c>
      <c r="B7" s="22" t="s">
        <v>461</v>
      </c>
      <c r="C7" s="7">
        <v>40</v>
      </c>
      <c r="D7" s="7">
        <v>1.1</v>
      </c>
      <c r="E7" s="7">
        <f t="shared" ref="E7" si="0">C7*D7</f>
        <v>44</v>
      </c>
      <c r="F7" s="7" t="s">
        <v>22</v>
      </c>
    </row>
    <row r="8" spans="3:5">
      <c r="C8" s="7" t="s">
        <v>18</v>
      </c>
      <c r="D8" s="7"/>
      <c r="E8" s="7">
        <f>SUM(E7:E7)</f>
        <v>44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3" workbookViewId="0">
      <selection activeCell="F10" sqref="F10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484</v>
      </c>
      <c r="B3" s="1"/>
      <c r="C3" s="1"/>
      <c r="D3" s="1" t="s">
        <v>449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6226</v>
      </c>
      <c r="B7" s="22" t="s">
        <v>316</v>
      </c>
      <c r="C7" s="7">
        <v>400</v>
      </c>
      <c r="D7" s="7">
        <v>1.1</v>
      </c>
      <c r="E7" s="7">
        <f t="shared" ref="E7:E23" si="0">C7*D7</f>
        <v>440</v>
      </c>
      <c r="F7" s="7" t="s">
        <v>189</v>
      </c>
    </row>
    <row r="8" spans="1:6">
      <c r="A8" s="7">
        <v>6466</v>
      </c>
      <c r="B8" s="22" t="s">
        <v>319</v>
      </c>
      <c r="C8" s="7">
        <v>600</v>
      </c>
      <c r="D8" s="7">
        <v>1.1</v>
      </c>
      <c r="E8" s="7">
        <f t="shared" si="0"/>
        <v>660</v>
      </c>
      <c r="F8" s="7" t="s">
        <v>13</v>
      </c>
    </row>
    <row r="9" spans="1:6">
      <c r="A9" s="7">
        <v>6486</v>
      </c>
      <c r="B9" s="22" t="s">
        <v>34</v>
      </c>
      <c r="C9" s="7">
        <v>560</v>
      </c>
      <c r="D9" s="7">
        <v>1.1</v>
      </c>
      <c r="E9" s="7">
        <f t="shared" si="0"/>
        <v>616</v>
      </c>
      <c r="F9" s="7" t="s">
        <v>13</v>
      </c>
    </row>
    <row r="10" spans="1:6">
      <c r="A10" s="7">
        <v>6459</v>
      </c>
      <c r="B10" s="22" t="s">
        <v>394</v>
      </c>
      <c r="C10" s="7">
        <v>600</v>
      </c>
      <c r="D10" s="7">
        <v>1.1</v>
      </c>
      <c r="E10" s="7">
        <f t="shared" si="0"/>
        <v>660</v>
      </c>
      <c r="F10" s="7" t="s">
        <v>13</v>
      </c>
    </row>
    <row r="11" spans="1:6">
      <c r="A11" s="7">
        <v>6462</v>
      </c>
      <c r="B11" s="22" t="s">
        <v>321</v>
      </c>
      <c r="C11" s="7">
        <v>560</v>
      </c>
      <c r="D11" s="7">
        <v>1.1</v>
      </c>
      <c r="E11" s="7">
        <f t="shared" si="0"/>
        <v>616</v>
      </c>
      <c r="F11" s="7" t="s">
        <v>13</v>
      </c>
    </row>
    <row r="12" spans="1:6">
      <c r="A12" s="7">
        <v>6480</v>
      </c>
      <c r="B12" s="22" t="s">
        <v>26</v>
      </c>
      <c r="C12" s="7">
        <v>560</v>
      </c>
      <c r="D12" s="7">
        <v>1.1</v>
      </c>
      <c r="E12" s="7">
        <f t="shared" si="0"/>
        <v>616</v>
      </c>
      <c r="F12" s="7" t="s">
        <v>13</v>
      </c>
    </row>
    <row r="13" spans="1:6">
      <c r="A13" s="7">
        <v>6464</v>
      </c>
      <c r="B13" s="22" t="s">
        <v>393</v>
      </c>
      <c r="C13" s="7">
        <v>560</v>
      </c>
      <c r="D13" s="7">
        <v>1.1</v>
      </c>
      <c r="E13" s="7">
        <f t="shared" si="0"/>
        <v>616</v>
      </c>
      <c r="F13" s="7" t="s">
        <v>13</v>
      </c>
    </row>
    <row r="14" spans="1:6">
      <c r="A14" s="7">
        <v>6478</v>
      </c>
      <c r="B14" s="22" t="s">
        <v>29</v>
      </c>
      <c r="C14" s="7">
        <v>560</v>
      </c>
      <c r="D14" s="7">
        <v>1.1</v>
      </c>
      <c r="E14" s="7">
        <f t="shared" si="0"/>
        <v>616</v>
      </c>
      <c r="F14" s="7" t="s">
        <v>13</v>
      </c>
    </row>
    <row r="15" spans="1:6">
      <c r="A15" s="7">
        <v>5492</v>
      </c>
      <c r="B15" s="22" t="s">
        <v>366</v>
      </c>
      <c r="C15" s="7">
        <v>600</v>
      </c>
      <c r="D15" s="7">
        <v>1.1</v>
      </c>
      <c r="E15" s="7">
        <f t="shared" si="0"/>
        <v>660</v>
      </c>
      <c r="F15" s="7" t="s">
        <v>13</v>
      </c>
    </row>
    <row r="16" spans="1:6">
      <c r="A16" s="7">
        <v>6481</v>
      </c>
      <c r="B16" s="22" t="s">
        <v>24</v>
      </c>
      <c r="C16" s="7">
        <v>560</v>
      </c>
      <c r="D16" s="7">
        <v>1.1</v>
      </c>
      <c r="E16" s="7">
        <f t="shared" si="0"/>
        <v>616</v>
      </c>
      <c r="F16" s="7" t="s">
        <v>13</v>
      </c>
    </row>
    <row r="17" spans="1:6">
      <c r="A17" s="7">
        <v>6398</v>
      </c>
      <c r="B17" s="22" t="s">
        <v>395</v>
      </c>
      <c r="C17" s="7">
        <v>400</v>
      </c>
      <c r="D17" s="7">
        <v>1.1</v>
      </c>
      <c r="E17" s="7">
        <f t="shared" si="0"/>
        <v>440</v>
      </c>
      <c r="F17" s="7" t="s">
        <v>189</v>
      </c>
    </row>
    <row r="18" spans="1:6">
      <c r="A18" s="7">
        <v>6455</v>
      </c>
      <c r="B18" s="22" t="s">
        <v>274</v>
      </c>
      <c r="C18" s="7">
        <v>400</v>
      </c>
      <c r="D18" s="7">
        <v>1.1</v>
      </c>
      <c r="E18" s="7">
        <f t="shared" si="0"/>
        <v>440</v>
      </c>
      <c r="F18" s="7" t="s">
        <v>189</v>
      </c>
    </row>
    <row r="19" spans="1:6">
      <c r="A19" s="7">
        <v>6454</v>
      </c>
      <c r="B19" s="22" t="s">
        <v>312</v>
      </c>
      <c r="C19" s="7">
        <v>400</v>
      </c>
      <c r="D19" s="7">
        <v>1.1</v>
      </c>
      <c r="E19" s="7">
        <f t="shared" si="0"/>
        <v>440</v>
      </c>
      <c r="F19" s="7" t="s">
        <v>189</v>
      </c>
    </row>
    <row r="20" spans="1:6">
      <c r="A20" s="7">
        <v>6458</v>
      </c>
      <c r="B20" s="22" t="s">
        <v>231</v>
      </c>
      <c r="C20" s="7">
        <v>400</v>
      </c>
      <c r="D20" s="7">
        <v>1.1</v>
      </c>
      <c r="E20" s="7">
        <f t="shared" si="0"/>
        <v>440</v>
      </c>
      <c r="F20" s="7" t="s">
        <v>189</v>
      </c>
    </row>
    <row r="21" spans="1:6">
      <c r="A21" s="7">
        <v>6457</v>
      </c>
      <c r="B21" s="22" t="s">
        <v>314</v>
      </c>
      <c r="C21" s="7">
        <v>380</v>
      </c>
      <c r="D21" s="7">
        <v>1.1</v>
      </c>
      <c r="E21" s="7">
        <f t="shared" si="0"/>
        <v>418</v>
      </c>
      <c r="F21" s="7" t="s">
        <v>189</v>
      </c>
    </row>
    <row r="22" spans="1:6">
      <c r="A22" s="7">
        <v>6453</v>
      </c>
      <c r="B22" s="22" t="s">
        <v>252</v>
      </c>
      <c r="C22" s="7">
        <v>360</v>
      </c>
      <c r="D22" s="7">
        <v>1.1</v>
      </c>
      <c r="E22" s="7">
        <f t="shared" si="0"/>
        <v>396</v>
      </c>
      <c r="F22" s="7" t="s">
        <v>189</v>
      </c>
    </row>
    <row r="23" spans="1:6">
      <c r="A23" s="7">
        <v>6456</v>
      </c>
      <c r="B23" s="22" t="s">
        <v>232</v>
      </c>
      <c r="C23" s="7">
        <v>360</v>
      </c>
      <c r="D23" s="7">
        <v>1.1</v>
      </c>
      <c r="E23" s="7">
        <f t="shared" si="0"/>
        <v>396</v>
      </c>
      <c r="F23" s="7" t="s">
        <v>189</v>
      </c>
    </row>
    <row r="24" spans="3:5">
      <c r="C24" s="8" t="s">
        <v>18</v>
      </c>
      <c r="D24" s="8"/>
      <c r="E24" s="8">
        <f>SUM(E7:E23)</f>
        <v>9086</v>
      </c>
    </row>
  </sheetData>
  <mergeCells count="7">
    <mergeCell ref="A3:C3"/>
    <mergeCell ref="D3:F3"/>
    <mergeCell ref="A4:C4"/>
    <mergeCell ref="D4:F4"/>
    <mergeCell ref="A5:F5"/>
    <mergeCell ref="C24:D24"/>
    <mergeCell ref="A1:F2"/>
  </mergeCells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12" sqref="I12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485</v>
      </c>
      <c r="B3" s="1"/>
      <c r="C3" s="1"/>
      <c r="D3" s="1" t="s">
        <v>449</v>
      </c>
      <c r="E3" s="1"/>
      <c r="F3" s="1"/>
    </row>
    <row r="4" spans="1:6">
      <c r="A4" s="2" t="s">
        <v>56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6431</v>
      </c>
      <c r="B7" s="22" t="s">
        <v>352</v>
      </c>
      <c r="C7" s="7">
        <v>100</v>
      </c>
      <c r="D7" s="7">
        <v>2710</v>
      </c>
      <c r="E7" s="7">
        <f t="shared" ref="E7:E10" si="0">C7*D7</f>
        <v>271000</v>
      </c>
      <c r="F7" s="7" t="s">
        <v>78</v>
      </c>
    </row>
    <row r="8" spans="1:6">
      <c r="A8" s="7">
        <v>6432</v>
      </c>
      <c r="B8" s="22" t="s">
        <v>240</v>
      </c>
      <c r="C8" s="7">
        <v>100</v>
      </c>
      <c r="D8" s="7">
        <v>2710</v>
      </c>
      <c r="E8" s="7">
        <f t="shared" si="0"/>
        <v>271000</v>
      </c>
      <c r="F8" s="7" t="s">
        <v>78</v>
      </c>
    </row>
    <row r="9" spans="1:6">
      <c r="A9" s="7">
        <v>6430</v>
      </c>
      <c r="B9" s="22" t="s">
        <v>293</v>
      </c>
      <c r="C9" s="7">
        <v>100</v>
      </c>
      <c r="D9" s="7">
        <v>2710</v>
      </c>
      <c r="E9" s="7">
        <f t="shared" si="0"/>
        <v>271000</v>
      </c>
      <c r="F9" s="7" t="s">
        <v>78</v>
      </c>
    </row>
    <row r="10" spans="1:6">
      <c r="A10" s="7">
        <v>6426</v>
      </c>
      <c r="B10" s="22" t="s">
        <v>346</v>
      </c>
      <c r="C10" s="7">
        <v>100</v>
      </c>
      <c r="D10" s="7">
        <v>2710</v>
      </c>
      <c r="E10" s="7">
        <f t="shared" si="0"/>
        <v>271000</v>
      </c>
      <c r="F10" s="7" t="s">
        <v>78</v>
      </c>
    </row>
    <row r="11" spans="3:5">
      <c r="C11" s="8" t="s">
        <v>18</v>
      </c>
      <c r="D11" s="8"/>
      <c r="E11" s="8">
        <f>SUM(E7:E9)</f>
        <v>813000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25" sqref="E25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486</v>
      </c>
      <c r="B3" s="1"/>
      <c r="C3" s="1"/>
      <c r="D3" s="1" t="s">
        <v>449</v>
      </c>
      <c r="E3" s="1"/>
      <c r="F3" s="1"/>
    </row>
    <row r="4" spans="1:6">
      <c r="A4" s="2" t="s">
        <v>302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6431</v>
      </c>
      <c r="B7" s="22" t="s">
        <v>352</v>
      </c>
      <c r="C7" s="7">
        <v>70</v>
      </c>
      <c r="D7" s="7">
        <v>2730</v>
      </c>
      <c r="E7" s="7">
        <f t="shared" ref="E7:E10" si="0">C7*D7</f>
        <v>191100</v>
      </c>
      <c r="F7" s="7" t="s">
        <v>78</v>
      </c>
    </row>
    <row r="8" spans="1:6">
      <c r="A8" s="7">
        <v>6432</v>
      </c>
      <c r="B8" s="22" t="s">
        <v>240</v>
      </c>
      <c r="C8" s="7">
        <v>70</v>
      </c>
      <c r="D8" s="7">
        <v>2730</v>
      </c>
      <c r="E8" s="7">
        <f t="shared" si="0"/>
        <v>191100</v>
      </c>
      <c r="F8" s="7" t="s">
        <v>78</v>
      </c>
    </row>
    <row r="9" spans="1:6">
      <c r="A9" s="7">
        <v>6430</v>
      </c>
      <c r="B9" s="22" t="s">
        <v>293</v>
      </c>
      <c r="C9" s="7">
        <v>70</v>
      </c>
      <c r="D9" s="7">
        <v>2730</v>
      </c>
      <c r="E9" s="7">
        <f t="shared" si="0"/>
        <v>191100</v>
      </c>
      <c r="F9" s="7" t="s">
        <v>78</v>
      </c>
    </row>
    <row r="10" spans="1:6">
      <c r="A10" s="7">
        <v>6426</v>
      </c>
      <c r="B10" s="22" t="s">
        <v>346</v>
      </c>
      <c r="C10" s="7">
        <v>70</v>
      </c>
      <c r="D10" s="7">
        <v>2730</v>
      </c>
      <c r="E10" s="7">
        <f t="shared" si="0"/>
        <v>191100</v>
      </c>
      <c r="F10" s="7" t="s">
        <v>78</v>
      </c>
    </row>
    <row r="11" spans="3:5">
      <c r="C11" s="8" t="s">
        <v>18</v>
      </c>
      <c r="D11" s="8"/>
      <c r="E11" s="8">
        <f>SUM(E7:E9)</f>
        <v>573300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7" sqref="F7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487</v>
      </c>
      <c r="B3" s="1"/>
      <c r="C3" s="1"/>
      <c r="D3" s="1" t="s">
        <v>449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6452</v>
      </c>
      <c r="B7" s="22" t="s">
        <v>277</v>
      </c>
      <c r="C7" s="7">
        <v>360</v>
      </c>
      <c r="D7" s="7">
        <v>1.1</v>
      </c>
      <c r="E7" s="7">
        <f t="shared" ref="E7" si="0">C7*D7</f>
        <v>396</v>
      </c>
      <c r="F7" s="7" t="s">
        <v>189</v>
      </c>
    </row>
    <row r="8" spans="3:5">
      <c r="C8" s="8" t="s">
        <v>18</v>
      </c>
      <c r="D8" s="8"/>
      <c r="E8" s="8">
        <f>SUM(E7:E7)</f>
        <v>396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26" sqref="C26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488</v>
      </c>
      <c r="B3" s="1"/>
      <c r="C3" s="1"/>
      <c r="D3" s="1" t="s">
        <v>489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6582</v>
      </c>
      <c r="B7" s="22" t="s">
        <v>39</v>
      </c>
      <c r="C7" s="7">
        <v>500</v>
      </c>
      <c r="D7" s="7">
        <v>2757</v>
      </c>
      <c r="E7" s="7">
        <f t="shared" ref="E7:E9" si="0">C7*D7</f>
        <v>1378500</v>
      </c>
      <c r="F7" s="7" t="s">
        <v>13</v>
      </c>
    </row>
    <row r="8" spans="1:6">
      <c r="A8" s="7">
        <v>6472</v>
      </c>
      <c r="B8" s="22" t="s">
        <v>111</v>
      </c>
      <c r="C8" s="7">
        <v>50</v>
      </c>
      <c r="D8" s="7">
        <v>2757</v>
      </c>
      <c r="E8" s="7">
        <f t="shared" si="0"/>
        <v>137850</v>
      </c>
      <c r="F8" s="7" t="s">
        <v>13</v>
      </c>
    </row>
    <row r="9" spans="1:6">
      <c r="A9" s="7">
        <v>6169</v>
      </c>
      <c r="B9" s="22" t="s">
        <v>444</v>
      </c>
      <c r="C9" s="7">
        <v>425</v>
      </c>
      <c r="D9" s="7">
        <v>2757</v>
      </c>
      <c r="E9" s="7">
        <f t="shared" si="0"/>
        <v>1171725</v>
      </c>
      <c r="F9" s="7" t="s">
        <v>266</v>
      </c>
    </row>
    <row r="10" spans="3:5">
      <c r="C10" s="8" t="s">
        <v>18</v>
      </c>
      <c r="D10" s="8"/>
      <c r="E10" s="8">
        <f>SUM(E7:E9)</f>
        <v>2688075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8" sqref="E8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490</v>
      </c>
      <c r="B3" s="1"/>
      <c r="C3" s="1"/>
      <c r="D3" s="1" t="s">
        <v>489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6413</v>
      </c>
      <c r="B7" s="22" t="s">
        <v>356</v>
      </c>
      <c r="C7" s="7">
        <v>100</v>
      </c>
      <c r="D7" s="7">
        <v>2875</v>
      </c>
      <c r="E7" s="7">
        <f t="shared" ref="E7:E9" si="0">C7*D7</f>
        <v>287500</v>
      </c>
      <c r="F7" s="7" t="s">
        <v>22</v>
      </c>
    </row>
    <row r="8" spans="1:6">
      <c r="A8" s="7">
        <v>6389</v>
      </c>
      <c r="B8" s="22" t="s">
        <v>296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6409</v>
      </c>
      <c r="B9" s="22" t="s">
        <v>355</v>
      </c>
      <c r="C9" s="7">
        <v>100</v>
      </c>
      <c r="D9" s="7">
        <v>2875</v>
      </c>
      <c r="E9" s="7">
        <f t="shared" si="0"/>
        <v>287500</v>
      </c>
      <c r="F9" s="7" t="s">
        <v>22</v>
      </c>
    </row>
    <row r="10" spans="3:5">
      <c r="C10" s="8" t="s">
        <v>18</v>
      </c>
      <c r="D10" s="8"/>
      <c r="E10" s="8">
        <f>SUM(E7:E9)</f>
        <v>862500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0" sqref="C10:D10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491</v>
      </c>
      <c r="B3" s="1"/>
      <c r="C3" s="1"/>
      <c r="D3" s="1" t="s">
        <v>489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6413</v>
      </c>
      <c r="B7" s="22" t="s">
        <v>356</v>
      </c>
      <c r="C7" s="7">
        <v>400</v>
      </c>
      <c r="D7" s="7">
        <v>2757</v>
      </c>
      <c r="E7" s="7">
        <f t="shared" ref="E7:E9" si="0">C7*D7</f>
        <v>1102800</v>
      </c>
      <c r="F7" s="7" t="s">
        <v>22</v>
      </c>
    </row>
    <row r="8" spans="1:6">
      <c r="A8" s="7">
        <v>6389</v>
      </c>
      <c r="B8" s="22" t="s">
        <v>296</v>
      </c>
      <c r="C8" s="7">
        <v>400</v>
      </c>
      <c r="D8" s="7">
        <v>2757</v>
      </c>
      <c r="E8" s="7">
        <f t="shared" si="0"/>
        <v>1102800</v>
      </c>
      <c r="F8" s="7" t="s">
        <v>22</v>
      </c>
    </row>
    <row r="9" spans="1:6">
      <c r="A9" s="7">
        <v>6409</v>
      </c>
      <c r="B9" s="22" t="s">
        <v>355</v>
      </c>
      <c r="C9" s="7">
        <v>400</v>
      </c>
      <c r="D9" s="7">
        <v>2757</v>
      </c>
      <c r="E9" s="7">
        <f t="shared" si="0"/>
        <v>1102800</v>
      </c>
      <c r="F9" s="7" t="s">
        <v>22</v>
      </c>
    </row>
    <row r="10" spans="3:5">
      <c r="C10" s="8" t="s">
        <v>18</v>
      </c>
      <c r="D10" s="8"/>
      <c r="E10" s="8">
        <f>SUM(E7:E9)</f>
        <v>3308400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7" sqref="D7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492</v>
      </c>
      <c r="B3" s="1"/>
      <c r="C3" s="1"/>
      <c r="D3" s="1" t="s">
        <v>489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6487</v>
      </c>
      <c r="B7" s="22" t="s">
        <v>38</v>
      </c>
      <c r="C7" s="7">
        <v>450</v>
      </c>
      <c r="D7" s="7">
        <v>2757</v>
      </c>
      <c r="E7" s="7">
        <f t="shared" ref="E7" si="0">C7*D7</f>
        <v>1240650</v>
      </c>
      <c r="F7" s="7" t="s">
        <v>13</v>
      </c>
    </row>
    <row r="8" spans="3:5">
      <c r="C8" s="8" t="s">
        <v>18</v>
      </c>
      <c r="D8" s="8"/>
      <c r="E8" s="8">
        <f>SUM(E7:E7)</f>
        <v>1240650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2" sqref="F12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493</v>
      </c>
      <c r="B3" s="1"/>
      <c r="C3" s="1"/>
      <c r="D3" s="1" t="s">
        <v>489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6479</v>
      </c>
      <c r="B7" s="22" t="s">
        <v>30</v>
      </c>
      <c r="C7" s="7">
        <v>50</v>
      </c>
      <c r="D7" s="7">
        <v>2875</v>
      </c>
      <c r="E7" s="7">
        <f t="shared" ref="E7" si="0">C7*D7</f>
        <v>143750</v>
      </c>
      <c r="F7" s="7" t="s">
        <v>13</v>
      </c>
    </row>
    <row r="8" spans="3:5">
      <c r="C8" s="8" t="s">
        <v>18</v>
      </c>
      <c r="D8" s="8"/>
      <c r="E8" s="8">
        <f>SUM(E7:E7)</f>
        <v>143750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0" sqref="D10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494</v>
      </c>
      <c r="B3" s="1"/>
      <c r="C3" s="1"/>
      <c r="D3" s="1" t="s">
        <v>495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6591</v>
      </c>
      <c r="B7" s="22" t="s">
        <v>496</v>
      </c>
      <c r="C7" s="7">
        <v>450</v>
      </c>
      <c r="D7" s="7">
        <v>2757</v>
      </c>
      <c r="E7" s="7">
        <f t="shared" ref="E7:E8" si="0">C7*D7</f>
        <v>1240650</v>
      </c>
      <c r="F7" s="7" t="s">
        <v>451</v>
      </c>
    </row>
    <row r="8" spans="1:6">
      <c r="A8" s="7">
        <v>6338</v>
      </c>
      <c r="B8" s="22" t="s">
        <v>497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3:5">
      <c r="C9" s="8" t="s">
        <v>18</v>
      </c>
      <c r="D9" s="8"/>
      <c r="E9" s="8">
        <f>SUM(E7:E7)</f>
        <v>1240650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J17" sqref="J17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498</v>
      </c>
      <c r="B3" s="1"/>
      <c r="C3" s="1"/>
      <c r="D3" s="1" t="s">
        <v>495</v>
      </c>
      <c r="E3" s="1"/>
      <c r="F3" s="1"/>
    </row>
    <row r="4" spans="1:6">
      <c r="A4" s="2" t="s">
        <v>76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6287</v>
      </c>
      <c r="B7" s="22" t="s">
        <v>499</v>
      </c>
      <c r="C7" s="7">
        <v>50</v>
      </c>
      <c r="D7" s="7">
        <v>1.2</v>
      </c>
      <c r="E7" s="7">
        <f t="shared" ref="E7:E13" si="0">C7*D7</f>
        <v>60</v>
      </c>
      <c r="F7" s="7" t="s">
        <v>22</v>
      </c>
    </row>
    <row r="8" spans="1:6">
      <c r="A8" s="7">
        <v>6288</v>
      </c>
      <c r="B8" s="22" t="s">
        <v>500</v>
      </c>
      <c r="C8" s="7">
        <v>50</v>
      </c>
      <c r="D8" s="7">
        <v>1.2</v>
      </c>
      <c r="E8" s="7">
        <f t="shared" si="0"/>
        <v>60</v>
      </c>
      <c r="F8" s="7" t="s">
        <v>22</v>
      </c>
    </row>
    <row r="9" spans="1:6">
      <c r="A9" s="7">
        <v>6641</v>
      </c>
      <c r="B9" s="22" t="s">
        <v>501</v>
      </c>
      <c r="C9" s="7">
        <v>50</v>
      </c>
      <c r="D9" s="7">
        <v>1.2</v>
      </c>
      <c r="E9" s="7">
        <f t="shared" si="0"/>
        <v>60</v>
      </c>
      <c r="F9" s="7" t="s">
        <v>22</v>
      </c>
    </row>
    <row r="10" spans="1:6">
      <c r="A10" s="7">
        <v>6541</v>
      </c>
      <c r="B10" s="22" t="s">
        <v>502</v>
      </c>
      <c r="C10" s="7">
        <v>50</v>
      </c>
      <c r="D10" s="7">
        <v>1.2</v>
      </c>
      <c r="E10" s="7">
        <f t="shared" si="0"/>
        <v>60</v>
      </c>
      <c r="F10" s="7" t="s">
        <v>22</v>
      </c>
    </row>
    <row r="11" spans="1:6">
      <c r="A11" s="7">
        <v>6366</v>
      </c>
      <c r="B11" s="22" t="s">
        <v>503</v>
      </c>
      <c r="C11" s="7">
        <v>50</v>
      </c>
      <c r="D11" s="7">
        <v>1.2</v>
      </c>
      <c r="E11" s="7">
        <f t="shared" si="0"/>
        <v>60</v>
      </c>
      <c r="F11" s="7" t="s">
        <v>22</v>
      </c>
    </row>
    <row r="12" spans="1:6">
      <c r="A12" s="7">
        <v>6364</v>
      </c>
      <c r="B12" s="22" t="s">
        <v>504</v>
      </c>
      <c r="C12" s="7">
        <v>50</v>
      </c>
      <c r="D12" s="7">
        <v>1.2</v>
      </c>
      <c r="E12" s="7">
        <f t="shared" si="0"/>
        <v>60</v>
      </c>
      <c r="F12" s="7" t="s">
        <v>22</v>
      </c>
    </row>
    <row r="13" spans="1:6">
      <c r="A13" s="7">
        <v>6365</v>
      </c>
      <c r="B13" s="22" t="s">
        <v>505</v>
      </c>
      <c r="C13" s="7">
        <v>50</v>
      </c>
      <c r="D13" s="7">
        <v>1.2</v>
      </c>
      <c r="E13" s="7">
        <f t="shared" si="0"/>
        <v>60</v>
      </c>
      <c r="F13" s="7" t="s">
        <v>22</v>
      </c>
    </row>
    <row r="14" spans="3:5">
      <c r="C14" s="8" t="s">
        <v>18</v>
      </c>
      <c r="D14" s="8"/>
      <c r="E14" s="8">
        <f>SUM(E7:E13)</f>
        <v>420</v>
      </c>
    </row>
  </sheetData>
  <mergeCells count="7">
    <mergeCell ref="A3:C3"/>
    <mergeCell ref="D3:F3"/>
    <mergeCell ref="A4:C4"/>
    <mergeCell ref="D4:F4"/>
    <mergeCell ref="A5:F5"/>
    <mergeCell ref="C14:D14"/>
    <mergeCell ref="A1:F2"/>
  </mergeCells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1" sqref="D11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506</v>
      </c>
      <c r="B3" s="1"/>
      <c r="C3" s="1"/>
      <c r="D3" s="1" t="s">
        <v>495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6287</v>
      </c>
      <c r="B7" s="22" t="s">
        <v>499</v>
      </c>
      <c r="C7" s="7">
        <v>350</v>
      </c>
      <c r="D7" s="7">
        <v>1.2</v>
      </c>
      <c r="E7" s="7">
        <f t="shared" ref="E7:E13" si="0">C7*D7</f>
        <v>420</v>
      </c>
      <c r="F7" s="7" t="s">
        <v>22</v>
      </c>
    </row>
    <row r="8" spans="1:6">
      <c r="A8" s="7">
        <v>6288</v>
      </c>
      <c r="B8" s="22" t="s">
        <v>500</v>
      </c>
      <c r="C8" s="7">
        <v>350</v>
      </c>
      <c r="D8" s="7">
        <v>1.2</v>
      </c>
      <c r="E8" s="7">
        <f t="shared" si="0"/>
        <v>420</v>
      </c>
      <c r="F8" s="7" t="s">
        <v>22</v>
      </c>
    </row>
    <row r="9" spans="1:6">
      <c r="A9" s="7">
        <v>6641</v>
      </c>
      <c r="B9" s="22" t="s">
        <v>501</v>
      </c>
      <c r="C9" s="7">
        <v>350</v>
      </c>
      <c r="D9" s="7">
        <v>1.2</v>
      </c>
      <c r="E9" s="7">
        <f t="shared" si="0"/>
        <v>420</v>
      </c>
      <c r="F9" s="7" t="s">
        <v>22</v>
      </c>
    </row>
    <row r="10" spans="1:6">
      <c r="A10" s="7">
        <v>6541</v>
      </c>
      <c r="B10" s="22" t="s">
        <v>502</v>
      </c>
      <c r="C10" s="7">
        <v>350</v>
      </c>
      <c r="D10" s="7">
        <v>1.2</v>
      </c>
      <c r="E10" s="7">
        <f t="shared" si="0"/>
        <v>420</v>
      </c>
      <c r="F10" s="7" t="s">
        <v>22</v>
      </c>
    </row>
    <row r="11" spans="1:6">
      <c r="A11" s="7">
        <v>6366</v>
      </c>
      <c r="B11" s="22" t="s">
        <v>503</v>
      </c>
      <c r="C11" s="7">
        <v>350</v>
      </c>
      <c r="D11" s="7">
        <v>1.2</v>
      </c>
      <c r="E11" s="7">
        <f t="shared" si="0"/>
        <v>420</v>
      </c>
      <c r="F11" s="7" t="s">
        <v>22</v>
      </c>
    </row>
    <row r="12" spans="1:6">
      <c r="A12" s="7">
        <v>6364</v>
      </c>
      <c r="B12" s="22" t="s">
        <v>504</v>
      </c>
      <c r="C12" s="7">
        <v>350</v>
      </c>
      <c r="D12" s="7">
        <v>1.2</v>
      </c>
      <c r="E12" s="7">
        <f t="shared" si="0"/>
        <v>420</v>
      </c>
      <c r="F12" s="7" t="s">
        <v>22</v>
      </c>
    </row>
    <row r="13" spans="1:6">
      <c r="A13" s="7">
        <v>6365</v>
      </c>
      <c r="B13" s="22" t="s">
        <v>505</v>
      </c>
      <c r="C13" s="7">
        <v>350</v>
      </c>
      <c r="D13" s="7">
        <v>1.2</v>
      </c>
      <c r="E13" s="7">
        <f t="shared" si="0"/>
        <v>420</v>
      </c>
      <c r="F13" s="7" t="s">
        <v>22</v>
      </c>
    </row>
    <row r="14" spans="3:5">
      <c r="C14" s="8" t="s">
        <v>18</v>
      </c>
      <c r="D14" s="8"/>
      <c r="E14" s="8">
        <f>SUM(E7:E13)</f>
        <v>2940</v>
      </c>
    </row>
  </sheetData>
  <mergeCells count="7">
    <mergeCell ref="A3:C3"/>
    <mergeCell ref="D3:F3"/>
    <mergeCell ref="A4:C4"/>
    <mergeCell ref="D4:F4"/>
    <mergeCell ref="A5:F5"/>
    <mergeCell ref="C14:D14"/>
    <mergeCell ref="A1:F2"/>
  </mergeCells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I9" sqref="I9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507</v>
      </c>
      <c r="B3" s="1"/>
      <c r="C3" s="1"/>
      <c r="D3" s="1" t="s">
        <v>495</v>
      </c>
      <c r="E3" s="1"/>
      <c r="F3" s="1"/>
    </row>
    <row r="4" spans="1:6">
      <c r="A4" s="2" t="s">
        <v>76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6666</v>
      </c>
      <c r="B7" s="22" t="s">
        <v>508</v>
      </c>
      <c r="C7" s="7">
        <v>50</v>
      </c>
      <c r="D7" s="7">
        <v>1.2</v>
      </c>
      <c r="E7" s="7">
        <f t="shared" ref="E7:E8" si="0">C7*D7</f>
        <v>60</v>
      </c>
      <c r="F7" s="7" t="s">
        <v>22</v>
      </c>
    </row>
    <row r="8" spans="1:6">
      <c r="A8" s="7">
        <v>6667</v>
      </c>
      <c r="B8" s="22" t="s">
        <v>509</v>
      </c>
      <c r="C8" s="7">
        <v>50</v>
      </c>
      <c r="D8" s="7">
        <v>1.2</v>
      </c>
      <c r="E8" s="7">
        <f t="shared" si="0"/>
        <v>60</v>
      </c>
      <c r="F8" s="7" t="s">
        <v>22</v>
      </c>
    </row>
    <row r="9" spans="3:5">
      <c r="C9" s="8" t="s">
        <v>18</v>
      </c>
      <c r="D9" s="8"/>
      <c r="E9" s="8">
        <f>SUM(E7:E8)</f>
        <v>120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2" sqref="F12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510</v>
      </c>
      <c r="B3" s="1"/>
      <c r="C3" s="1"/>
      <c r="D3" s="1" t="s">
        <v>495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6666</v>
      </c>
      <c r="B7" s="22" t="s">
        <v>508</v>
      </c>
      <c r="C7" s="7">
        <v>350</v>
      </c>
      <c r="D7" s="7">
        <v>1.2</v>
      </c>
      <c r="E7" s="7">
        <f t="shared" ref="E7:E8" si="0">C7*D7</f>
        <v>420</v>
      </c>
      <c r="F7" s="7" t="s">
        <v>22</v>
      </c>
    </row>
    <row r="8" spans="1:6">
      <c r="A8" s="7">
        <v>6667</v>
      </c>
      <c r="B8" s="22" t="s">
        <v>509</v>
      </c>
      <c r="C8" s="7">
        <v>350</v>
      </c>
      <c r="D8" s="7">
        <v>1.2</v>
      </c>
      <c r="E8" s="7">
        <f t="shared" si="0"/>
        <v>420</v>
      </c>
      <c r="F8" s="7" t="s">
        <v>22</v>
      </c>
    </row>
    <row r="9" spans="3:5">
      <c r="C9" s="8" t="s">
        <v>18</v>
      </c>
      <c r="D9" s="8"/>
      <c r="E9" s="8">
        <f>SUM(E7:E8)</f>
        <v>840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G16" sqref="G16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511</v>
      </c>
      <c r="B3" s="1"/>
      <c r="C3" s="1"/>
      <c r="D3" s="1" t="s">
        <v>495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6580</v>
      </c>
      <c r="B7" s="22" t="s">
        <v>35</v>
      </c>
      <c r="C7" s="7">
        <v>30</v>
      </c>
      <c r="D7" s="7">
        <v>2757</v>
      </c>
      <c r="E7" s="7">
        <f t="shared" ref="E7" si="0">C7*D7</f>
        <v>82710</v>
      </c>
      <c r="F7" s="7" t="s">
        <v>22</v>
      </c>
    </row>
    <row r="8" spans="3:5">
      <c r="C8" s="8" t="s">
        <v>18</v>
      </c>
      <c r="D8" s="8"/>
      <c r="E8" s="8">
        <f>SUM(E7:E7)</f>
        <v>82710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J15" sqref="J15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512</v>
      </c>
      <c r="B3" s="1"/>
      <c r="C3" s="1"/>
      <c r="D3" s="1" t="s">
        <v>495</v>
      </c>
      <c r="E3" s="1"/>
      <c r="F3" s="1"/>
    </row>
    <row r="4" spans="1:6">
      <c r="A4" s="2" t="s">
        <v>69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6666</v>
      </c>
      <c r="B7" s="22" t="s">
        <v>508</v>
      </c>
      <c r="C7" s="7">
        <v>40</v>
      </c>
      <c r="D7" s="7">
        <v>1.2</v>
      </c>
      <c r="E7" s="7">
        <f t="shared" ref="E7:E11" si="0">C7*D7</f>
        <v>48</v>
      </c>
      <c r="F7" s="7" t="s">
        <v>22</v>
      </c>
    </row>
    <row r="8" spans="1:6">
      <c r="A8" s="7">
        <v>6667</v>
      </c>
      <c r="B8" s="22" t="s">
        <v>509</v>
      </c>
      <c r="C8" s="7">
        <v>40</v>
      </c>
      <c r="D8" s="7">
        <v>1.2</v>
      </c>
      <c r="E8" s="7">
        <f t="shared" si="0"/>
        <v>48</v>
      </c>
      <c r="F8" s="7" t="s">
        <v>22</v>
      </c>
    </row>
    <row r="9" spans="1:6">
      <c r="A9" s="7">
        <v>6502</v>
      </c>
      <c r="B9" s="22" t="s">
        <v>465</v>
      </c>
      <c r="C9" s="7">
        <v>40</v>
      </c>
      <c r="D9" s="7">
        <v>1.2</v>
      </c>
      <c r="E9" s="7">
        <f t="shared" si="0"/>
        <v>48</v>
      </c>
      <c r="F9" s="7" t="s">
        <v>22</v>
      </c>
    </row>
    <row r="10" spans="1:6">
      <c r="A10" s="7">
        <v>6504</v>
      </c>
      <c r="B10" s="22" t="s">
        <v>464</v>
      </c>
      <c r="C10" s="7">
        <v>40</v>
      </c>
      <c r="D10" s="7">
        <v>1.2</v>
      </c>
      <c r="E10" s="7">
        <f t="shared" si="0"/>
        <v>48</v>
      </c>
      <c r="F10" s="7" t="s">
        <v>22</v>
      </c>
    </row>
    <row r="11" spans="1:6">
      <c r="A11" s="7">
        <v>6042</v>
      </c>
      <c r="B11" s="22" t="s">
        <v>463</v>
      </c>
      <c r="C11" s="7">
        <v>40</v>
      </c>
      <c r="D11" s="7">
        <v>1.2</v>
      </c>
      <c r="E11" s="7">
        <f t="shared" si="0"/>
        <v>48</v>
      </c>
      <c r="F11" s="7" t="s">
        <v>22</v>
      </c>
    </row>
    <row r="12" spans="3:5">
      <c r="C12" s="8" t="s">
        <v>18</v>
      </c>
      <c r="D12" s="8"/>
      <c r="E12" s="8">
        <f>SUM(E7:E11)</f>
        <v>240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D6" sqref="D6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513</v>
      </c>
      <c r="B3" s="1"/>
      <c r="C3" s="1"/>
      <c r="D3" s="1" t="s">
        <v>514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6577</v>
      </c>
      <c r="B7" s="22" t="s">
        <v>44</v>
      </c>
      <c r="C7" s="7">
        <v>450</v>
      </c>
      <c r="D7" s="7">
        <v>2757</v>
      </c>
      <c r="E7" s="7">
        <f t="shared" ref="E7:E12" si="0">C7*D7</f>
        <v>1240650</v>
      </c>
      <c r="F7" s="7" t="s">
        <v>13</v>
      </c>
    </row>
    <row r="8" spans="1:6">
      <c r="A8" s="7">
        <v>6578</v>
      </c>
      <c r="B8" s="22" t="s">
        <v>40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6463</v>
      </c>
      <c r="B9" s="22" t="s">
        <v>515</v>
      </c>
      <c r="C9" s="7">
        <v>450</v>
      </c>
      <c r="D9" s="7">
        <v>2757</v>
      </c>
      <c r="E9" s="7">
        <f t="shared" si="0"/>
        <v>1240650</v>
      </c>
      <c r="F9" s="7" t="s">
        <v>451</v>
      </c>
    </row>
    <row r="10" spans="1:6">
      <c r="A10" s="7">
        <v>6579</v>
      </c>
      <c r="B10" s="22" t="s">
        <v>33</v>
      </c>
      <c r="C10" s="7">
        <v>450</v>
      </c>
      <c r="D10" s="7">
        <v>2757</v>
      </c>
      <c r="E10" s="7">
        <f t="shared" si="0"/>
        <v>1240650</v>
      </c>
      <c r="F10" s="7" t="s">
        <v>13</v>
      </c>
    </row>
    <row r="11" spans="1:6">
      <c r="A11" s="7"/>
      <c r="B11" s="22" t="s">
        <v>129</v>
      </c>
      <c r="C11" s="7">
        <v>450</v>
      </c>
      <c r="D11" s="7">
        <v>2757</v>
      </c>
      <c r="E11" s="7">
        <f t="shared" si="0"/>
        <v>1240650</v>
      </c>
      <c r="F11" s="7" t="s">
        <v>17</v>
      </c>
    </row>
    <row r="12" spans="1:6">
      <c r="A12" s="7">
        <v>6588</v>
      </c>
      <c r="B12" s="22" t="s">
        <v>21</v>
      </c>
      <c r="C12" s="7">
        <v>450</v>
      </c>
      <c r="D12" s="7">
        <v>2757</v>
      </c>
      <c r="E12" s="7">
        <f t="shared" si="0"/>
        <v>1240650</v>
      </c>
      <c r="F12" s="7" t="s">
        <v>13</v>
      </c>
    </row>
    <row r="13" spans="3:5">
      <c r="C13" s="7" t="s">
        <v>18</v>
      </c>
      <c r="D13" s="7"/>
      <c r="E13" s="7">
        <f>SUM(E7:E12)</f>
        <v>7443900</v>
      </c>
    </row>
  </sheetData>
  <mergeCells count="7">
    <mergeCell ref="A3:C3"/>
    <mergeCell ref="D3:F3"/>
    <mergeCell ref="A4:C4"/>
    <mergeCell ref="D4:F4"/>
    <mergeCell ref="A5:F5"/>
    <mergeCell ref="C13:D13"/>
    <mergeCell ref="A1:F2"/>
  </mergeCells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H14" sqref="H14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516</v>
      </c>
      <c r="B3" s="1"/>
      <c r="C3" s="1"/>
      <c r="D3" s="1" t="s">
        <v>517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/>
      <c r="B7" s="22" t="s">
        <v>132</v>
      </c>
      <c r="C7" s="7">
        <v>450</v>
      </c>
      <c r="D7" s="7">
        <v>2757</v>
      </c>
      <c r="E7" s="7">
        <f t="shared" ref="E7:E10" si="0">C7*D7</f>
        <v>1240650</v>
      </c>
      <c r="F7" s="7" t="s">
        <v>212</v>
      </c>
    </row>
    <row r="8" spans="1:6">
      <c r="A8" s="7">
        <v>6586</v>
      </c>
      <c r="B8" s="22" t="s">
        <v>518</v>
      </c>
      <c r="C8" s="7">
        <v>450</v>
      </c>
      <c r="D8" s="7">
        <v>2757</v>
      </c>
      <c r="E8" s="7">
        <f t="shared" si="0"/>
        <v>1240650</v>
      </c>
      <c r="F8" s="7" t="s">
        <v>13</v>
      </c>
    </row>
    <row r="9" spans="1:6">
      <c r="A9" s="7">
        <v>6584</v>
      </c>
      <c r="B9" s="22" t="s">
        <v>519</v>
      </c>
      <c r="C9" s="7">
        <v>450</v>
      </c>
      <c r="D9" s="7">
        <v>2757</v>
      </c>
      <c r="E9" s="7">
        <f t="shared" si="0"/>
        <v>1240650</v>
      </c>
      <c r="F9" s="7" t="s">
        <v>13</v>
      </c>
    </row>
    <row r="10" spans="1:6">
      <c r="A10" s="7">
        <v>6190</v>
      </c>
      <c r="B10" s="22" t="s">
        <v>520</v>
      </c>
      <c r="C10" s="7">
        <v>450</v>
      </c>
      <c r="D10" s="7">
        <v>2757</v>
      </c>
      <c r="E10" s="7">
        <f t="shared" si="0"/>
        <v>1240650</v>
      </c>
      <c r="F10" s="7" t="s">
        <v>266</v>
      </c>
    </row>
    <row r="11" spans="3:5">
      <c r="C11" s="7" t="s">
        <v>18</v>
      </c>
      <c r="D11" s="7"/>
      <c r="E11" s="7">
        <f>SUM(E7:E10)</f>
        <v>4962600</v>
      </c>
    </row>
  </sheetData>
  <mergeCells count="7">
    <mergeCell ref="A3:C3"/>
    <mergeCell ref="D3:F3"/>
    <mergeCell ref="A4:C4"/>
    <mergeCell ref="D4:F4"/>
    <mergeCell ref="A5:F5"/>
    <mergeCell ref="C11:D11"/>
    <mergeCell ref="A1:F2"/>
  </mergeCells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I32" sqref="I32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521</v>
      </c>
      <c r="B3" s="1"/>
      <c r="C3" s="1"/>
      <c r="D3" s="1" t="s">
        <v>517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6498</v>
      </c>
      <c r="B7" s="22" t="s">
        <v>411</v>
      </c>
      <c r="C7" s="7">
        <v>460</v>
      </c>
      <c r="D7" s="7">
        <v>1.1</v>
      </c>
      <c r="E7" s="7">
        <f t="shared" ref="E7:E26" si="0">C7*D7</f>
        <v>506</v>
      </c>
      <c r="F7" s="7" t="s">
        <v>212</v>
      </c>
    </row>
    <row r="8" spans="1:6">
      <c r="A8" s="7">
        <v>6587</v>
      </c>
      <c r="B8" s="22" t="s">
        <v>452</v>
      </c>
      <c r="C8" s="7">
        <v>560</v>
      </c>
      <c r="D8" s="7">
        <v>1.1</v>
      </c>
      <c r="E8" s="7">
        <f t="shared" si="0"/>
        <v>616</v>
      </c>
      <c r="F8" s="7" t="s">
        <v>13</v>
      </c>
    </row>
    <row r="9" spans="1:6">
      <c r="A9" s="7">
        <v>6476</v>
      </c>
      <c r="B9" s="22" t="s">
        <v>28</v>
      </c>
      <c r="C9" s="7">
        <v>560</v>
      </c>
      <c r="D9" s="7">
        <v>1.1</v>
      </c>
      <c r="E9" s="7">
        <f t="shared" si="0"/>
        <v>616</v>
      </c>
      <c r="F9" s="7" t="s">
        <v>13</v>
      </c>
    </row>
    <row r="10" spans="1:6">
      <c r="A10" s="7">
        <v>6488</v>
      </c>
      <c r="B10" s="22" t="s">
        <v>42</v>
      </c>
      <c r="C10" s="7">
        <v>560</v>
      </c>
      <c r="D10" s="7">
        <v>1.1</v>
      </c>
      <c r="E10" s="7">
        <f t="shared" si="0"/>
        <v>616</v>
      </c>
      <c r="F10" s="7" t="s">
        <v>13</v>
      </c>
    </row>
    <row r="11" spans="1:6">
      <c r="A11" s="7">
        <v>6187</v>
      </c>
      <c r="B11" s="22" t="s">
        <v>410</v>
      </c>
      <c r="C11" s="7">
        <v>560</v>
      </c>
      <c r="D11" s="7">
        <v>1.1</v>
      </c>
      <c r="E11" s="7">
        <f t="shared" si="0"/>
        <v>616</v>
      </c>
      <c r="F11" s="7" t="s">
        <v>266</v>
      </c>
    </row>
    <row r="12" spans="1:6">
      <c r="A12" s="7">
        <v>6188</v>
      </c>
      <c r="B12" s="22" t="s">
        <v>416</v>
      </c>
      <c r="C12" s="7">
        <v>560</v>
      </c>
      <c r="D12" s="7">
        <v>1.1</v>
      </c>
      <c r="E12" s="7">
        <f t="shared" si="0"/>
        <v>616</v>
      </c>
      <c r="F12" s="7" t="s">
        <v>266</v>
      </c>
    </row>
    <row r="13" spans="1:6">
      <c r="A13" s="7">
        <v>6472</v>
      </c>
      <c r="B13" s="22" t="s">
        <v>371</v>
      </c>
      <c r="C13" s="7">
        <v>560</v>
      </c>
      <c r="D13" s="7">
        <v>1.1</v>
      </c>
      <c r="E13" s="7">
        <f t="shared" si="0"/>
        <v>616</v>
      </c>
      <c r="F13" s="7" t="s">
        <v>13</v>
      </c>
    </row>
    <row r="14" spans="1:6">
      <c r="A14" s="7">
        <v>6168</v>
      </c>
      <c r="B14" s="22" t="s">
        <v>369</v>
      </c>
      <c r="C14" s="7">
        <v>560</v>
      </c>
      <c r="D14" s="7">
        <v>1.1</v>
      </c>
      <c r="E14" s="7">
        <f t="shared" si="0"/>
        <v>616</v>
      </c>
      <c r="F14" s="7" t="s">
        <v>266</v>
      </c>
    </row>
    <row r="15" spans="1:6">
      <c r="A15" s="7">
        <v>6169</v>
      </c>
      <c r="B15" s="22" t="s">
        <v>444</v>
      </c>
      <c r="C15" s="7">
        <v>457</v>
      </c>
      <c r="D15" s="7">
        <v>1.1</v>
      </c>
      <c r="E15" s="7">
        <f t="shared" si="0"/>
        <v>502.7</v>
      </c>
      <c r="F15" s="7" t="s">
        <v>266</v>
      </c>
    </row>
    <row r="16" spans="1:6">
      <c r="A16" s="7">
        <v>6489</v>
      </c>
      <c r="B16" s="22" t="s">
        <v>41</v>
      </c>
      <c r="C16" s="7">
        <v>560</v>
      </c>
      <c r="D16" s="7">
        <v>1.1</v>
      </c>
      <c r="E16" s="7">
        <f t="shared" si="0"/>
        <v>616</v>
      </c>
      <c r="F16" s="7" t="s">
        <v>13</v>
      </c>
    </row>
    <row r="17" spans="1:6">
      <c r="A17" s="7">
        <v>6484</v>
      </c>
      <c r="B17" s="22" t="s">
        <v>370</v>
      </c>
      <c r="C17" s="7">
        <v>600</v>
      </c>
      <c r="D17" s="7">
        <v>1.1</v>
      </c>
      <c r="E17" s="7">
        <f t="shared" si="0"/>
        <v>660</v>
      </c>
      <c r="F17" s="7" t="s">
        <v>13</v>
      </c>
    </row>
    <row r="18" spans="1:6">
      <c r="A18" s="7">
        <v>6482</v>
      </c>
      <c r="B18" s="22" t="s">
        <v>32</v>
      </c>
      <c r="C18" s="7">
        <v>600</v>
      </c>
      <c r="D18" s="7">
        <v>1.1</v>
      </c>
      <c r="E18" s="7">
        <f t="shared" si="0"/>
        <v>660</v>
      </c>
      <c r="F18" s="7" t="s">
        <v>13</v>
      </c>
    </row>
    <row r="19" spans="1:6">
      <c r="A19" s="7">
        <v>6483</v>
      </c>
      <c r="B19" s="22" t="s">
        <v>25</v>
      </c>
      <c r="C19" s="7">
        <v>560</v>
      </c>
      <c r="D19" s="7">
        <v>1.1</v>
      </c>
      <c r="E19" s="7">
        <f t="shared" si="0"/>
        <v>616</v>
      </c>
      <c r="F19" s="7" t="s">
        <v>13</v>
      </c>
    </row>
    <row r="20" spans="1:6">
      <c r="A20" s="7">
        <v>6479</v>
      </c>
      <c r="B20" s="22" t="s">
        <v>30</v>
      </c>
      <c r="C20" s="7">
        <v>560</v>
      </c>
      <c r="D20" s="7">
        <v>1.1</v>
      </c>
      <c r="E20" s="7">
        <f t="shared" si="0"/>
        <v>616</v>
      </c>
      <c r="F20" s="7" t="s">
        <v>13</v>
      </c>
    </row>
    <row r="21" spans="1:6">
      <c r="A21" s="7">
        <v>6487</v>
      </c>
      <c r="B21" s="22" t="s">
        <v>38</v>
      </c>
      <c r="C21" s="7">
        <v>600</v>
      </c>
      <c r="D21" s="7">
        <v>1.1</v>
      </c>
      <c r="E21" s="7">
        <f t="shared" si="0"/>
        <v>660</v>
      </c>
      <c r="F21" s="7" t="s">
        <v>13</v>
      </c>
    </row>
    <row r="22" spans="1:6">
      <c r="A22" s="7">
        <v>6477</v>
      </c>
      <c r="B22" s="22" t="s">
        <v>31</v>
      </c>
      <c r="C22" s="7">
        <v>560</v>
      </c>
      <c r="D22" s="7">
        <v>1.1</v>
      </c>
      <c r="E22" s="7">
        <f t="shared" si="0"/>
        <v>616</v>
      </c>
      <c r="F22" s="7" t="s">
        <v>13</v>
      </c>
    </row>
    <row r="23" spans="1:6">
      <c r="A23" s="7">
        <v>6582</v>
      </c>
      <c r="B23" s="22" t="s">
        <v>39</v>
      </c>
      <c r="C23" s="7">
        <v>560</v>
      </c>
      <c r="D23" s="7">
        <v>1.1</v>
      </c>
      <c r="E23" s="7">
        <f t="shared" si="0"/>
        <v>616</v>
      </c>
      <c r="F23" s="7" t="s">
        <v>13</v>
      </c>
    </row>
    <row r="24" spans="1:6">
      <c r="A24" s="7">
        <v>6585</v>
      </c>
      <c r="B24" s="22" t="s">
        <v>450</v>
      </c>
      <c r="C24" s="7">
        <v>560</v>
      </c>
      <c r="D24" s="7">
        <v>1.1</v>
      </c>
      <c r="E24" s="7">
        <f t="shared" si="0"/>
        <v>616</v>
      </c>
      <c r="F24" s="7" t="s">
        <v>13</v>
      </c>
    </row>
    <row r="25" spans="1:6">
      <c r="A25" s="7">
        <v>6581</v>
      </c>
      <c r="B25" s="22" t="s">
        <v>163</v>
      </c>
      <c r="C25" s="7">
        <v>560</v>
      </c>
      <c r="D25" s="7">
        <v>1.1</v>
      </c>
      <c r="E25" s="7">
        <f t="shared" si="0"/>
        <v>616</v>
      </c>
      <c r="F25" s="7" t="s">
        <v>13</v>
      </c>
    </row>
    <row r="26" spans="1:6">
      <c r="A26" s="7">
        <v>6580</v>
      </c>
      <c r="B26" s="22" t="s">
        <v>35</v>
      </c>
      <c r="C26" s="7">
        <v>560</v>
      </c>
      <c r="D26" s="7">
        <v>1.1</v>
      </c>
      <c r="E26" s="7">
        <f t="shared" si="0"/>
        <v>616</v>
      </c>
      <c r="F26" s="7" t="s">
        <v>13</v>
      </c>
    </row>
    <row r="27" spans="3:5">
      <c r="C27" s="8" t="s">
        <v>18</v>
      </c>
      <c r="D27" s="8"/>
      <c r="E27" s="8">
        <f>SUM(E7:E26)</f>
        <v>12228.7</v>
      </c>
    </row>
  </sheetData>
  <mergeCells count="7">
    <mergeCell ref="A3:C3"/>
    <mergeCell ref="D3:F3"/>
    <mergeCell ref="A4:C4"/>
    <mergeCell ref="D4:F4"/>
    <mergeCell ref="A5:F5"/>
    <mergeCell ref="C27:D27"/>
    <mergeCell ref="A1:F2"/>
  </mergeCells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J29" sqref="J29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522</v>
      </c>
      <c r="B3" s="1"/>
      <c r="C3" s="1"/>
      <c r="D3" s="1" t="s">
        <v>517</v>
      </c>
      <c r="E3" s="1"/>
      <c r="F3" s="1"/>
    </row>
    <row r="4" spans="1:6">
      <c r="A4" s="2" t="s">
        <v>69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6604</v>
      </c>
      <c r="B7" s="22" t="s">
        <v>421</v>
      </c>
      <c r="C7" s="7">
        <v>20</v>
      </c>
      <c r="D7" s="7">
        <v>1.1</v>
      </c>
      <c r="E7" s="7">
        <f t="shared" ref="E7:E9" si="0">C7*D7</f>
        <v>22</v>
      </c>
      <c r="F7" s="7" t="s">
        <v>22</v>
      </c>
    </row>
    <row r="8" spans="1:6">
      <c r="A8" s="7">
        <v>6602</v>
      </c>
      <c r="B8" s="22" t="s">
        <v>419</v>
      </c>
      <c r="C8" s="7">
        <v>20</v>
      </c>
      <c r="D8" s="7">
        <v>1.1</v>
      </c>
      <c r="E8" s="7">
        <f t="shared" si="0"/>
        <v>22</v>
      </c>
      <c r="F8" s="7" t="s">
        <v>22</v>
      </c>
    </row>
    <row r="9" spans="1:6">
      <c r="A9" s="7">
        <v>6255</v>
      </c>
      <c r="B9" s="22" t="s">
        <v>418</v>
      </c>
      <c r="C9" s="7">
        <v>20</v>
      </c>
      <c r="D9" s="7">
        <v>1.1</v>
      </c>
      <c r="E9" s="7">
        <f t="shared" si="0"/>
        <v>22</v>
      </c>
      <c r="F9" s="7" t="s">
        <v>22</v>
      </c>
    </row>
    <row r="10" spans="3:5">
      <c r="C10" s="8" t="s">
        <v>18</v>
      </c>
      <c r="D10" s="8"/>
      <c r="E10" s="8">
        <f>SUM(E7:E9)</f>
        <v>66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L31" sqref="L31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523</v>
      </c>
      <c r="B3" s="1"/>
      <c r="C3" s="1"/>
      <c r="D3" s="1" t="s">
        <v>524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6370</v>
      </c>
      <c r="B7" s="22" t="s">
        <v>149</v>
      </c>
      <c r="C7" s="7">
        <v>100</v>
      </c>
      <c r="D7" s="7">
        <v>2875</v>
      </c>
      <c r="E7" s="7">
        <f t="shared" ref="E7:E16" si="0">C7*D7</f>
        <v>287500</v>
      </c>
      <c r="F7" s="7" t="s">
        <v>22</v>
      </c>
    </row>
    <row r="8" spans="1:6">
      <c r="A8" s="7">
        <v>6392</v>
      </c>
      <c r="B8" s="22" t="s">
        <v>430</v>
      </c>
      <c r="C8" s="7">
        <v>100</v>
      </c>
      <c r="D8" s="7">
        <v>2875</v>
      </c>
      <c r="E8" s="7">
        <f t="shared" si="0"/>
        <v>287500</v>
      </c>
      <c r="F8" s="7" t="s">
        <v>22</v>
      </c>
    </row>
    <row r="9" spans="1:6">
      <c r="A9" s="7">
        <v>6372</v>
      </c>
      <c r="B9" s="22" t="s">
        <v>156</v>
      </c>
      <c r="C9" s="7">
        <v>100</v>
      </c>
      <c r="D9" s="7">
        <v>2875</v>
      </c>
      <c r="E9" s="7">
        <f t="shared" si="0"/>
        <v>287500</v>
      </c>
      <c r="F9" s="7" t="s">
        <v>22</v>
      </c>
    </row>
    <row r="10" spans="1:6">
      <c r="A10" s="7">
        <v>6393</v>
      </c>
      <c r="B10" s="22" t="s">
        <v>461</v>
      </c>
      <c r="C10" s="7">
        <v>100</v>
      </c>
      <c r="D10" s="7">
        <v>2875</v>
      </c>
      <c r="E10" s="7">
        <f t="shared" si="0"/>
        <v>287500</v>
      </c>
      <c r="F10" s="7" t="s">
        <v>78</v>
      </c>
    </row>
    <row r="11" spans="1:6">
      <c r="A11" s="7">
        <v>6391</v>
      </c>
      <c r="B11" s="22" t="s">
        <v>431</v>
      </c>
      <c r="C11" s="7">
        <v>100</v>
      </c>
      <c r="D11" s="7">
        <v>2875</v>
      </c>
      <c r="E11" s="7">
        <f t="shared" si="0"/>
        <v>287500</v>
      </c>
      <c r="F11" s="7" t="s">
        <v>78</v>
      </c>
    </row>
    <row r="12" spans="1:6">
      <c r="A12" s="7">
        <v>6437</v>
      </c>
      <c r="B12" s="22" t="s">
        <v>424</v>
      </c>
      <c r="C12" s="7">
        <v>100</v>
      </c>
      <c r="D12" s="7">
        <v>2875</v>
      </c>
      <c r="E12" s="7">
        <f t="shared" si="0"/>
        <v>287500</v>
      </c>
      <c r="F12" s="7" t="s">
        <v>78</v>
      </c>
    </row>
    <row r="13" spans="1:6">
      <c r="A13" s="7">
        <v>5438</v>
      </c>
      <c r="B13" s="22" t="s">
        <v>427</v>
      </c>
      <c r="C13" s="7">
        <v>100</v>
      </c>
      <c r="D13" s="7">
        <v>2875</v>
      </c>
      <c r="E13" s="7">
        <f t="shared" si="0"/>
        <v>287500</v>
      </c>
      <c r="F13" s="7" t="s">
        <v>78</v>
      </c>
    </row>
    <row r="14" spans="1:6">
      <c r="A14" s="7">
        <v>6440</v>
      </c>
      <c r="B14" s="22" t="s">
        <v>425</v>
      </c>
      <c r="C14" s="7">
        <v>100</v>
      </c>
      <c r="D14" s="7">
        <v>2875</v>
      </c>
      <c r="E14" s="7">
        <f t="shared" si="0"/>
        <v>287500</v>
      </c>
      <c r="F14" s="7" t="s">
        <v>78</v>
      </c>
    </row>
    <row r="15" spans="1:6">
      <c r="A15" s="7">
        <v>6428</v>
      </c>
      <c r="B15" s="22" t="s">
        <v>426</v>
      </c>
      <c r="C15" s="7">
        <v>100</v>
      </c>
      <c r="D15" s="7">
        <v>2875</v>
      </c>
      <c r="E15" s="7">
        <f t="shared" si="0"/>
        <v>287500</v>
      </c>
      <c r="F15" s="7" t="s">
        <v>78</v>
      </c>
    </row>
    <row r="16" spans="1:6">
      <c r="A16" s="7">
        <v>6502</v>
      </c>
      <c r="B16" s="22" t="s">
        <v>465</v>
      </c>
      <c r="C16" s="7">
        <v>100</v>
      </c>
      <c r="D16" s="7">
        <v>2875</v>
      </c>
      <c r="E16" s="7">
        <f t="shared" si="0"/>
        <v>287500</v>
      </c>
      <c r="F16" s="7" t="s">
        <v>22</v>
      </c>
    </row>
    <row r="17" spans="3:5">
      <c r="C17" s="8" t="s">
        <v>18</v>
      </c>
      <c r="D17" s="8"/>
      <c r="E17" s="8">
        <f>SUM(E7:E16)</f>
        <v>2875000</v>
      </c>
    </row>
  </sheetData>
  <mergeCells count="7">
    <mergeCell ref="A3:C3"/>
    <mergeCell ref="D3:F3"/>
    <mergeCell ref="A4:C4"/>
    <mergeCell ref="D4:F4"/>
    <mergeCell ref="A5:F5"/>
    <mergeCell ref="C17:D17"/>
    <mergeCell ref="A1:F2"/>
  </mergeCells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L32" sqref="L32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525</v>
      </c>
      <c r="B3" s="1"/>
      <c r="C3" s="1"/>
      <c r="D3" s="1" t="s">
        <v>524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6370</v>
      </c>
      <c r="B7" s="22" t="s">
        <v>149</v>
      </c>
      <c r="C7" s="7">
        <v>400</v>
      </c>
      <c r="D7" s="7">
        <v>2757</v>
      </c>
      <c r="E7" s="7">
        <f t="shared" ref="E7:E22" si="0">C7*D7</f>
        <v>1102800</v>
      </c>
      <c r="F7" s="7" t="s">
        <v>22</v>
      </c>
    </row>
    <row r="8" spans="1:6">
      <c r="A8" s="7">
        <v>6392</v>
      </c>
      <c r="B8" s="22" t="s">
        <v>430</v>
      </c>
      <c r="C8" s="7">
        <v>400</v>
      </c>
      <c r="D8" s="7">
        <v>2757</v>
      </c>
      <c r="E8" s="7">
        <f t="shared" si="0"/>
        <v>1102800</v>
      </c>
      <c r="F8" s="7" t="s">
        <v>22</v>
      </c>
    </row>
    <row r="9" spans="1:6">
      <c r="A9" s="7">
        <v>6372</v>
      </c>
      <c r="B9" s="22" t="s">
        <v>156</v>
      </c>
      <c r="C9" s="7">
        <v>400</v>
      </c>
      <c r="D9" s="7">
        <v>2757</v>
      </c>
      <c r="E9" s="7">
        <f t="shared" si="0"/>
        <v>1102800</v>
      </c>
      <c r="F9" s="7" t="s">
        <v>22</v>
      </c>
    </row>
    <row r="10" spans="1:6">
      <c r="A10" s="7">
        <v>6393</v>
      </c>
      <c r="B10" s="22" t="s">
        <v>461</v>
      </c>
      <c r="C10" s="7">
        <v>400</v>
      </c>
      <c r="D10" s="7">
        <v>2757</v>
      </c>
      <c r="E10" s="7">
        <f t="shared" si="0"/>
        <v>1102800</v>
      </c>
      <c r="F10" s="7" t="s">
        <v>78</v>
      </c>
    </row>
    <row r="11" spans="1:6">
      <c r="A11" s="7">
        <v>6391</v>
      </c>
      <c r="B11" s="22" t="s">
        <v>431</v>
      </c>
      <c r="C11" s="7">
        <v>400</v>
      </c>
      <c r="D11" s="7">
        <v>2757</v>
      </c>
      <c r="E11" s="7">
        <f t="shared" si="0"/>
        <v>1102800</v>
      </c>
      <c r="F11" s="7" t="s">
        <v>78</v>
      </c>
    </row>
    <row r="12" spans="1:6">
      <c r="A12" s="7">
        <v>6437</v>
      </c>
      <c r="B12" s="22" t="s">
        <v>424</v>
      </c>
      <c r="C12" s="7">
        <v>400</v>
      </c>
      <c r="D12" s="7">
        <v>2757</v>
      </c>
      <c r="E12" s="7">
        <f t="shared" si="0"/>
        <v>1102800</v>
      </c>
      <c r="F12" s="7" t="s">
        <v>78</v>
      </c>
    </row>
    <row r="13" spans="1:6">
      <c r="A13" s="7">
        <v>5438</v>
      </c>
      <c r="B13" s="22" t="s">
        <v>427</v>
      </c>
      <c r="C13" s="7">
        <v>400</v>
      </c>
      <c r="D13" s="7">
        <v>2757</v>
      </c>
      <c r="E13" s="7">
        <f t="shared" si="0"/>
        <v>1102800</v>
      </c>
      <c r="F13" s="7" t="s">
        <v>78</v>
      </c>
    </row>
    <row r="14" spans="1:6">
      <c r="A14" s="7">
        <v>6440</v>
      </c>
      <c r="B14" s="22" t="s">
        <v>425</v>
      </c>
      <c r="C14" s="7">
        <v>400</v>
      </c>
      <c r="D14" s="7">
        <v>2757</v>
      </c>
      <c r="E14" s="7">
        <f t="shared" si="0"/>
        <v>1102800</v>
      </c>
      <c r="F14" s="7" t="s">
        <v>78</v>
      </c>
    </row>
    <row r="15" spans="1:6">
      <c r="A15" s="7">
        <v>6428</v>
      </c>
      <c r="B15" s="22" t="s">
        <v>426</v>
      </c>
      <c r="C15" s="7">
        <v>400</v>
      </c>
      <c r="D15" s="7">
        <v>2757</v>
      </c>
      <c r="E15" s="7">
        <f t="shared" si="0"/>
        <v>1102800</v>
      </c>
      <c r="F15" s="7" t="s">
        <v>78</v>
      </c>
    </row>
    <row r="16" spans="1:6">
      <c r="A16" s="7">
        <v>6502</v>
      </c>
      <c r="B16" s="22" t="s">
        <v>465</v>
      </c>
      <c r="C16" s="7">
        <v>400</v>
      </c>
      <c r="D16" s="7">
        <v>2757</v>
      </c>
      <c r="E16" s="7">
        <f t="shared" si="0"/>
        <v>1102800</v>
      </c>
      <c r="F16" s="7" t="s">
        <v>22</v>
      </c>
    </row>
    <row r="17" spans="1:6">
      <c r="A17" s="7">
        <v>6499</v>
      </c>
      <c r="B17" s="22" t="s">
        <v>526</v>
      </c>
      <c r="C17" s="7">
        <v>450</v>
      </c>
      <c r="D17" s="7">
        <v>2757</v>
      </c>
      <c r="E17" s="7">
        <f t="shared" si="0"/>
        <v>1240650</v>
      </c>
      <c r="F17" s="7" t="s">
        <v>212</v>
      </c>
    </row>
    <row r="18" spans="1:6">
      <c r="A18" s="7">
        <v>6689</v>
      </c>
      <c r="B18" s="22" t="s">
        <v>147</v>
      </c>
      <c r="C18" s="7">
        <v>450</v>
      </c>
      <c r="D18" s="7">
        <v>2757</v>
      </c>
      <c r="E18" s="7">
        <f t="shared" si="0"/>
        <v>1240650</v>
      </c>
      <c r="F18" s="7" t="s">
        <v>212</v>
      </c>
    </row>
    <row r="19" spans="1:6">
      <c r="A19" s="7">
        <v>6583</v>
      </c>
      <c r="B19" s="22" t="s">
        <v>527</v>
      </c>
      <c r="C19" s="7">
        <v>450</v>
      </c>
      <c r="D19" s="7">
        <v>2757</v>
      </c>
      <c r="E19" s="7">
        <f t="shared" si="0"/>
        <v>1240650</v>
      </c>
      <c r="F19" s="7" t="s">
        <v>13</v>
      </c>
    </row>
    <row r="20" spans="1:6">
      <c r="A20" s="7">
        <v>6688</v>
      </c>
      <c r="B20" s="22" t="s">
        <v>139</v>
      </c>
      <c r="C20" s="7">
        <v>450</v>
      </c>
      <c r="D20" s="7">
        <v>2757</v>
      </c>
      <c r="E20" s="7">
        <f t="shared" si="0"/>
        <v>1240650</v>
      </c>
      <c r="F20" s="7" t="s">
        <v>212</v>
      </c>
    </row>
    <row r="21" spans="1:6">
      <c r="A21" s="7">
        <v>6551</v>
      </c>
      <c r="B21" s="22" t="s">
        <v>116</v>
      </c>
      <c r="C21" s="7">
        <v>450</v>
      </c>
      <c r="D21" s="7">
        <v>2757</v>
      </c>
      <c r="E21" s="7">
        <f t="shared" si="0"/>
        <v>1240650</v>
      </c>
      <c r="F21" s="7" t="s">
        <v>13</v>
      </c>
    </row>
    <row r="22" spans="1:6">
      <c r="A22" s="7">
        <v>6339</v>
      </c>
      <c r="B22" s="22" t="s">
        <v>381</v>
      </c>
      <c r="C22" s="7">
        <v>453</v>
      </c>
      <c r="D22" s="7">
        <v>2757</v>
      </c>
      <c r="E22" s="7">
        <f t="shared" si="0"/>
        <v>1248921</v>
      </c>
      <c r="F22" s="7" t="s">
        <v>13</v>
      </c>
    </row>
    <row r="23" spans="3:5">
      <c r="C23" s="8" t="s">
        <v>18</v>
      </c>
      <c r="D23" s="8"/>
      <c r="E23" s="8">
        <f>SUM(E7:E22)</f>
        <v>18480171</v>
      </c>
    </row>
  </sheetData>
  <mergeCells count="7">
    <mergeCell ref="A3:C3"/>
    <mergeCell ref="D3:F3"/>
    <mergeCell ref="A4:C4"/>
    <mergeCell ref="D4:F4"/>
    <mergeCell ref="A5:F5"/>
    <mergeCell ref="C23:D23"/>
    <mergeCell ref="A1:F2"/>
  </mergeCells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K37" sqref="K37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528</v>
      </c>
      <c r="B3" s="1"/>
      <c r="C3" s="1"/>
      <c r="D3" s="1" t="s">
        <v>524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6419</v>
      </c>
      <c r="B7" s="22" t="s">
        <v>423</v>
      </c>
      <c r="C7" s="7">
        <v>100</v>
      </c>
      <c r="D7" s="7">
        <v>2875</v>
      </c>
      <c r="E7" s="7">
        <f t="shared" ref="E7" si="0">C7*D7</f>
        <v>287500</v>
      </c>
      <c r="F7" s="7" t="s">
        <v>22</v>
      </c>
    </row>
    <row r="8" spans="3:5">
      <c r="C8" s="8" t="s">
        <v>18</v>
      </c>
      <c r="D8" s="8"/>
      <c r="E8" s="8">
        <f>SUM(E7:E7)</f>
        <v>287500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F33" sqref="F33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529</v>
      </c>
      <c r="B3" s="1"/>
      <c r="C3" s="1"/>
      <c r="D3" s="1" t="s">
        <v>524</v>
      </c>
      <c r="E3" s="1"/>
      <c r="F3" s="1"/>
    </row>
    <row r="4" spans="1:6">
      <c r="A4" s="2" t="s">
        <v>20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6390</v>
      </c>
      <c r="B7" s="7" t="s">
        <v>429</v>
      </c>
      <c r="C7" s="7">
        <v>100</v>
      </c>
      <c r="D7" s="7">
        <v>2875</v>
      </c>
      <c r="E7" s="7">
        <f>C7*D7</f>
        <v>287500</v>
      </c>
      <c r="F7" s="7" t="s">
        <v>22</v>
      </c>
    </row>
    <row r="8" spans="1:6">
      <c r="A8" s="7">
        <v>6503</v>
      </c>
      <c r="B8" s="7" t="s">
        <v>463</v>
      </c>
      <c r="C8" s="7">
        <v>100</v>
      </c>
      <c r="D8" s="7">
        <v>2875</v>
      </c>
      <c r="E8" s="7">
        <f t="shared" ref="E8:E12" si="0">C8*D8</f>
        <v>287500</v>
      </c>
      <c r="F8" s="7" t="s">
        <v>22</v>
      </c>
    </row>
    <row r="9" spans="1:6">
      <c r="A9" s="7">
        <v>6504</v>
      </c>
      <c r="B9" s="7" t="s">
        <v>464</v>
      </c>
      <c r="C9" s="7">
        <v>100</v>
      </c>
      <c r="D9" s="7">
        <v>2875</v>
      </c>
      <c r="E9" s="7">
        <f t="shared" si="0"/>
        <v>287500</v>
      </c>
      <c r="F9" s="7" t="s">
        <v>22</v>
      </c>
    </row>
    <row r="10" spans="1:6">
      <c r="A10" s="7">
        <v>6531</v>
      </c>
      <c r="B10" s="7" t="s">
        <v>466</v>
      </c>
      <c r="C10" s="7">
        <v>100</v>
      </c>
      <c r="D10" s="7">
        <v>2875</v>
      </c>
      <c r="E10" s="7">
        <f t="shared" si="0"/>
        <v>287500</v>
      </c>
      <c r="F10" s="7" t="s">
        <v>22</v>
      </c>
    </row>
    <row r="11" spans="1:6">
      <c r="A11" s="7">
        <v>6371</v>
      </c>
      <c r="B11" s="7" t="s">
        <v>154</v>
      </c>
      <c r="C11" s="7">
        <v>100</v>
      </c>
      <c r="D11" s="7">
        <v>2875</v>
      </c>
      <c r="E11" s="7">
        <f t="shared" si="0"/>
        <v>287500</v>
      </c>
      <c r="F11" s="7" t="s">
        <v>22</v>
      </c>
    </row>
    <row r="12" spans="1:6">
      <c r="A12" s="7">
        <v>6444</v>
      </c>
      <c r="B12" s="7" t="s">
        <v>428</v>
      </c>
      <c r="C12" s="7">
        <v>100</v>
      </c>
      <c r="D12" s="7">
        <v>2875</v>
      </c>
      <c r="E12" s="7">
        <f t="shared" si="0"/>
        <v>287500</v>
      </c>
      <c r="F12" s="7" t="s">
        <v>78</v>
      </c>
    </row>
    <row r="13" spans="1:6">
      <c r="A13" s="7">
        <v>6373</v>
      </c>
      <c r="B13" s="22" t="s">
        <v>146</v>
      </c>
      <c r="C13" s="7">
        <v>100</v>
      </c>
      <c r="D13" s="7">
        <v>2875</v>
      </c>
      <c r="E13" s="7">
        <f t="shared" ref="E13" si="1">C13*D13</f>
        <v>287500</v>
      </c>
      <c r="F13" s="7" t="s">
        <v>22</v>
      </c>
    </row>
    <row r="14" spans="3:5">
      <c r="C14" s="8" t="s">
        <v>18</v>
      </c>
      <c r="D14" s="8"/>
      <c r="E14" s="8">
        <f>SUM(E7:E13)</f>
        <v>2012500</v>
      </c>
    </row>
  </sheetData>
  <mergeCells count="7">
    <mergeCell ref="A3:C3"/>
    <mergeCell ref="D3:F3"/>
    <mergeCell ref="A4:C4"/>
    <mergeCell ref="D4:F4"/>
    <mergeCell ref="A5:F5"/>
    <mergeCell ref="C14:D14"/>
    <mergeCell ref="A1:F2"/>
  </mergeCells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F33" sqref="F33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530</v>
      </c>
      <c r="B3" s="1"/>
      <c r="C3" s="1"/>
      <c r="D3" s="1" t="s">
        <v>524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6390</v>
      </c>
      <c r="B7" s="7" t="s">
        <v>429</v>
      </c>
      <c r="C7" s="7">
        <v>400</v>
      </c>
      <c r="D7" s="7">
        <v>2757</v>
      </c>
      <c r="E7" s="7">
        <f>C7*D7</f>
        <v>1102800</v>
      </c>
      <c r="F7" s="7" t="s">
        <v>22</v>
      </c>
    </row>
    <row r="8" spans="1:6">
      <c r="A8" s="7">
        <v>6503</v>
      </c>
      <c r="B8" s="7" t="s">
        <v>463</v>
      </c>
      <c r="C8" s="7">
        <v>400</v>
      </c>
      <c r="D8" s="7">
        <v>2757</v>
      </c>
      <c r="E8" s="7">
        <f t="shared" ref="E8:E14" si="0">C8*D8</f>
        <v>1102800</v>
      </c>
      <c r="F8" s="7" t="s">
        <v>22</v>
      </c>
    </row>
    <row r="9" spans="1:6">
      <c r="A9" s="7">
        <v>6504</v>
      </c>
      <c r="B9" s="7" t="s">
        <v>464</v>
      </c>
      <c r="C9" s="7">
        <v>400</v>
      </c>
      <c r="D9" s="7">
        <v>2757</v>
      </c>
      <c r="E9" s="7">
        <f t="shared" si="0"/>
        <v>1102800</v>
      </c>
      <c r="F9" s="7" t="s">
        <v>22</v>
      </c>
    </row>
    <row r="10" spans="1:6">
      <c r="A10" s="7">
        <v>6531</v>
      </c>
      <c r="B10" s="7" t="s">
        <v>466</v>
      </c>
      <c r="C10" s="7">
        <v>400</v>
      </c>
      <c r="D10" s="7">
        <v>2757</v>
      </c>
      <c r="E10" s="7">
        <f t="shared" si="0"/>
        <v>1102800</v>
      </c>
      <c r="F10" s="7" t="s">
        <v>22</v>
      </c>
    </row>
    <row r="11" spans="1:6">
      <c r="A11" s="7">
        <v>6371</v>
      </c>
      <c r="B11" s="7" t="s">
        <v>154</v>
      </c>
      <c r="C11" s="7">
        <v>400</v>
      </c>
      <c r="D11" s="7">
        <v>2757</v>
      </c>
      <c r="E11" s="7">
        <f t="shared" si="0"/>
        <v>1102800</v>
      </c>
      <c r="F11" s="7" t="s">
        <v>22</v>
      </c>
    </row>
    <row r="12" spans="1:6">
      <c r="A12" s="7">
        <v>6444</v>
      </c>
      <c r="B12" s="7" t="s">
        <v>428</v>
      </c>
      <c r="C12" s="7">
        <v>400</v>
      </c>
      <c r="D12" s="7">
        <v>2757</v>
      </c>
      <c r="E12" s="7">
        <f t="shared" si="0"/>
        <v>1102800</v>
      </c>
      <c r="F12" s="7" t="s">
        <v>78</v>
      </c>
    </row>
    <row r="13" spans="1:6">
      <c r="A13" s="7">
        <v>6419</v>
      </c>
      <c r="B13" s="22" t="s">
        <v>423</v>
      </c>
      <c r="C13" s="7">
        <v>100</v>
      </c>
      <c r="D13" s="7">
        <v>2757</v>
      </c>
      <c r="E13" s="7">
        <f t="shared" si="0"/>
        <v>275700</v>
      </c>
      <c r="F13" s="7" t="s">
        <v>22</v>
      </c>
    </row>
    <row r="14" spans="1:6">
      <c r="A14" s="7">
        <v>6373</v>
      </c>
      <c r="B14" s="22" t="s">
        <v>146</v>
      </c>
      <c r="C14" s="7">
        <v>400</v>
      </c>
      <c r="D14" s="7">
        <v>2757</v>
      </c>
      <c r="E14" s="7">
        <f t="shared" si="0"/>
        <v>1102800</v>
      </c>
      <c r="F14" s="7" t="s">
        <v>22</v>
      </c>
    </row>
    <row r="15" spans="3:5">
      <c r="C15" s="8" t="s">
        <v>18</v>
      </c>
      <c r="D15" s="8"/>
      <c r="E15" s="8">
        <f>SUM(E7:E14)</f>
        <v>7995300</v>
      </c>
    </row>
  </sheetData>
  <mergeCells count="7">
    <mergeCell ref="A3:C3"/>
    <mergeCell ref="D3:F3"/>
    <mergeCell ref="A4:C4"/>
    <mergeCell ref="D4:F4"/>
    <mergeCell ref="A5:F5"/>
    <mergeCell ref="C15:D15"/>
    <mergeCell ref="A1:F2"/>
  </mergeCells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H30" sqref="H30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531</v>
      </c>
      <c r="B3" s="1"/>
      <c r="C3" s="1"/>
      <c r="D3" s="1" t="s">
        <v>524</v>
      </c>
      <c r="E3" s="1"/>
      <c r="F3" s="1"/>
    </row>
    <row r="4" spans="1:6">
      <c r="A4" s="2" t="s">
        <v>532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6323</v>
      </c>
      <c r="B7" s="7" t="s">
        <v>151</v>
      </c>
      <c r="C7" s="7">
        <v>250</v>
      </c>
      <c r="D7" s="7">
        <v>1.2</v>
      </c>
      <c r="E7" s="7">
        <f>C7*D7</f>
        <v>300</v>
      </c>
      <c r="F7" s="7" t="s">
        <v>22</v>
      </c>
    </row>
    <row r="8" spans="1:6">
      <c r="A8" s="7">
        <v>6667</v>
      </c>
      <c r="B8" s="7" t="s">
        <v>509</v>
      </c>
      <c r="C8" s="7">
        <v>250</v>
      </c>
      <c r="D8" s="7">
        <v>1.2</v>
      </c>
      <c r="E8" s="7">
        <f t="shared" ref="E8:E11" si="0">C8*D8</f>
        <v>300</v>
      </c>
      <c r="F8" s="7" t="s">
        <v>22</v>
      </c>
    </row>
    <row r="9" spans="1:6">
      <c r="A9" s="7">
        <v>6375</v>
      </c>
      <c r="B9" s="7" t="s">
        <v>144</v>
      </c>
      <c r="C9" s="7">
        <v>250</v>
      </c>
      <c r="D9" s="7">
        <v>1.2</v>
      </c>
      <c r="E9" s="7">
        <f t="shared" si="0"/>
        <v>300</v>
      </c>
      <c r="F9" s="7" t="s">
        <v>22</v>
      </c>
    </row>
    <row r="10" spans="1:6">
      <c r="A10" s="7">
        <v>6641</v>
      </c>
      <c r="B10" s="7" t="s">
        <v>501</v>
      </c>
      <c r="C10" s="7">
        <v>250</v>
      </c>
      <c r="D10" s="7">
        <v>1.2</v>
      </c>
      <c r="E10" s="7">
        <f t="shared" si="0"/>
        <v>300</v>
      </c>
      <c r="F10" s="7" t="s">
        <v>22</v>
      </c>
    </row>
    <row r="11" spans="1:6">
      <c r="A11" s="7">
        <v>6434</v>
      </c>
      <c r="B11" s="7" t="s">
        <v>474</v>
      </c>
      <c r="C11" s="7">
        <v>250</v>
      </c>
      <c r="D11" s="7">
        <v>1.2</v>
      </c>
      <c r="E11" s="7">
        <f t="shared" si="0"/>
        <v>300</v>
      </c>
      <c r="F11" s="7" t="s">
        <v>22</v>
      </c>
    </row>
    <row r="12" spans="3:5">
      <c r="C12" s="8" t="s">
        <v>18</v>
      </c>
      <c r="D12" s="8"/>
      <c r="E12" s="8">
        <f>SUM(E7:E11)</f>
        <v>1500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I30" sqref="I30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533</v>
      </c>
      <c r="B3" s="1"/>
      <c r="C3" s="1"/>
      <c r="D3" s="1" t="s">
        <v>524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6323</v>
      </c>
      <c r="B7" s="7" t="s">
        <v>151</v>
      </c>
      <c r="C7" s="7">
        <v>100</v>
      </c>
      <c r="D7" s="7">
        <v>3039</v>
      </c>
      <c r="E7" s="7">
        <f>C7*D7</f>
        <v>303900</v>
      </c>
      <c r="F7" s="7" t="s">
        <v>22</v>
      </c>
    </row>
    <row r="8" spans="1:6">
      <c r="A8" s="7">
        <v>6667</v>
      </c>
      <c r="B8" s="7" t="s">
        <v>509</v>
      </c>
      <c r="C8" s="7">
        <v>100</v>
      </c>
      <c r="D8" s="7">
        <v>3039</v>
      </c>
      <c r="E8" s="7">
        <f t="shared" ref="E8:E12" si="0">C8*D8</f>
        <v>303900</v>
      </c>
      <c r="F8" s="7" t="s">
        <v>22</v>
      </c>
    </row>
    <row r="9" spans="1:6">
      <c r="A9" s="7">
        <v>6375</v>
      </c>
      <c r="B9" s="7" t="s">
        <v>144</v>
      </c>
      <c r="C9" s="7">
        <v>100</v>
      </c>
      <c r="D9" s="7">
        <v>3039</v>
      </c>
      <c r="E9" s="7">
        <f t="shared" si="0"/>
        <v>303900</v>
      </c>
      <c r="F9" s="7" t="s">
        <v>22</v>
      </c>
    </row>
    <row r="10" spans="1:6">
      <c r="A10" s="7">
        <v>6641</v>
      </c>
      <c r="B10" s="7" t="s">
        <v>501</v>
      </c>
      <c r="C10" s="7">
        <v>100</v>
      </c>
      <c r="D10" s="7">
        <v>3039</v>
      </c>
      <c r="E10" s="7">
        <f t="shared" si="0"/>
        <v>303900</v>
      </c>
      <c r="F10" s="7" t="s">
        <v>22</v>
      </c>
    </row>
    <row r="11" spans="1:6">
      <c r="A11" s="7">
        <v>6434</v>
      </c>
      <c r="B11" s="7" t="s">
        <v>474</v>
      </c>
      <c r="C11" s="7">
        <v>100</v>
      </c>
      <c r="D11" s="7">
        <v>3039</v>
      </c>
      <c r="E11" s="7">
        <f t="shared" si="0"/>
        <v>303900</v>
      </c>
      <c r="F11" s="7" t="s">
        <v>22</v>
      </c>
    </row>
    <row r="12" spans="1:6">
      <c r="A12" s="7">
        <v>6364</v>
      </c>
      <c r="B12" s="7" t="s">
        <v>504</v>
      </c>
      <c r="C12" s="7">
        <v>30</v>
      </c>
      <c r="D12" s="7">
        <v>3039</v>
      </c>
      <c r="E12" s="7">
        <f t="shared" si="0"/>
        <v>91170</v>
      </c>
      <c r="F12" s="7" t="s">
        <v>22</v>
      </c>
    </row>
    <row r="13" spans="3:5">
      <c r="C13" s="8" t="s">
        <v>18</v>
      </c>
      <c r="D13" s="8"/>
      <c r="E13" s="8">
        <f>SUM(E7:E12)</f>
        <v>1610670</v>
      </c>
    </row>
  </sheetData>
  <mergeCells count="7">
    <mergeCell ref="A3:C3"/>
    <mergeCell ref="D3:F3"/>
    <mergeCell ref="A4:C4"/>
    <mergeCell ref="D4:F4"/>
    <mergeCell ref="A5:F5"/>
    <mergeCell ref="C13:D13"/>
    <mergeCell ref="A1:F2"/>
  </mergeCells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7" sqref="A7:D7 F7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534</v>
      </c>
      <c r="B3" s="1"/>
      <c r="C3" s="1"/>
      <c r="D3" s="1" t="s">
        <v>524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6396</v>
      </c>
      <c r="B7" s="7" t="s">
        <v>535</v>
      </c>
      <c r="C7" s="7">
        <v>500</v>
      </c>
      <c r="D7" s="7">
        <v>2704</v>
      </c>
      <c r="E7" s="7">
        <f>C7*D7</f>
        <v>1352000</v>
      </c>
      <c r="F7" s="7" t="s">
        <v>189</v>
      </c>
    </row>
    <row r="8" spans="3:5">
      <c r="C8" s="8" t="s">
        <v>18</v>
      </c>
      <c r="D8" s="8"/>
      <c r="E8" s="8">
        <f>SUM(E7:E7)</f>
        <v>1352000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7" sqref="A7:D9 F7:F9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536</v>
      </c>
      <c r="B3" s="1"/>
      <c r="C3" s="1"/>
      <c r="D3" s="1" t="s">
        <v>537</v>
      </c>
      <c r="E3" s="1"/>
      <c r="F3" s="1"/>
    </row>
    <row r="4" spans="1:6">
      <c r="A4" s="2" t="s">
        <v>46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6704</v>
      </c>
      <c r="B7" s="7" t="s">
        <v>85</v>
      </c>
      <c r="C7" s="7">
        <v>450</v>
      </c>
      <c r="D7" s="7">
        <v>2757</v>
      </c>
      <c r="E7" s="7">
        <f>C7*D7</f>
        <v>1240650</v>
      </c>
      <c r="F7" s="7" t="s">
        <v>13</v>
      </c>
    </row>
    <row r="8" spans="1:6">
      <c r="A8" s="7">
        <v>6565</v>
      </c>
      <c r="B8" s="7" t="s">
        <v>73</v>
      </c>
      <c r="C8" s="7">
        <v>450</v>
      </c>
      <c r="D8" s="7">
        <v>2757</v>
      </c>
      <c r="E8" s="7">
        <f t="shared" ref="E8:E9" si="0">C8*D8</f>
        <v>1240650</v>
      </c>
      <c r="F8" s="7" t="s">
        <v>13</v>
      </c>
    </row>
    <row r="9" spans="1:6">
      <c r="A9" s="7">
        <v>6569</v>
      </c>
      <c r="B9" s="7" t="s">
        <v>71</v>
      </c>
      <c r="C9" s="7">
        <v>450</v>
      </c>
      <c r="D9" s="7">
        <v>2757</v>
      </c>
      <c r="E9" s="7">
        <f t="shared" si="0"/>
        <v>1240650</v>
      </c>
      <c r="F9" s="7"/>
    </row>
    <row r="10" spans="3:5">
      <c r="C10" s="8" t="s">
        <v>18</v>
      </c>
      <c r="D10" s="8"/>
      <c r="E10" s="8">
        <f>SUM(E7:E9)</f>
        <v>3721950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I35" sqref="I35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538</v>
      </c>
      <c r="B3" s="1"/>
      <c r="C3" s="1"/>
      <c r="D3" s="1" t="s">
        <v>537</v>
      </c>
      <c r="E3" s="1"/>
      <c r="F3" s="1"/>
    </row>
    <row r="4" spans="1:6">
      <c r="A4" s="2" t="s">
        <v>532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6602</v>
      </c>
      <c r="B7" s="7" t="s">
        <v>419</v>
      </c>
      <c r="C7" s="7">
        <v>250</v>
      </c>
      <c r="D7" s="7">
        <v>1.2</v>
      </c>
      <c r="E7" s="7">
        <f>C7*D7</f>
        <v>300</v>
      </c>
      <c r="F7" s="7" t="s">
        <v>22</v>
      </c>
    </row>
    <row r="8" spans="1:6">
      <c r="A8" s="7">
        <v>6366</v>
      </c>
      <c r="B8" s="7" t="s">
        <v>503</v>
      </c>
      <c r="C8" s="7">
        <v>250</v>
      </c>
      <c r="D8" s="7">
        <v>1.2</v>
      </c>
      <c r="E8" s="7">
        <f t="shared" ref="E8:E13" si="0">C8*D8</f>
        <v>300</v>
      </c>
      <c r="F8" s="7" t="s">
        <v>22</v>
      </c>
    </row>
    <row r="9" spans="1:6">
      <c r="A9" s="7">
        <v>6255</v>
      </c>
      <c r="B9" s="7" t="s">
        <v>418</v>
      </c>
      <c r="C9" s="7">
        <v>250</v>
      </c>
      <c r="D9" s="7">
        <v>1.2</v>
      </c>
      <c r="E9" s="7">
        <f t="shared" si="0"/>
        <v>300</v>
      </c>
      <c r="F9" s="7" t="s">
        <v>22</v>
      </c>
    </row>
    <row r="10" spans="1:6">
      <c r="A10" s="7">
        <v>6365</v>
      </c>
      <c r="B10" s="7" t="s">
        <v>505</v>
      </c>
      <c r="C10" s="7">
        <v>250</v>
      </c>
      <c r="D10" s="7">
        <v>1.2</v>
      </c>
      <c r="E10" s="7">
        <f t="shared" si="0"/>
        <v>300</v>
      </c>
      <c r="F10" s="7" t="s">
        <v>22</v>
      </c>
    </row>
    <row r="11" spans="1:6">
      <c r="A11" s="7">
        <v>6280</v>
      </c>
      <c r="B11" s="7" t="s">
        <v>362</v>
      </c>
      <c r="C11" s="7">
        <v>250</v>
      </c>
      <c r="D11" s="7">
        <v>1.2</v>
      </c>
      <c r="E11" s="7">
        <f t="shared" si="0"/>
        <v>300</v>
      </c>
      <c r="F11" s="7" t="s">
        <v>22</v>
      </c>
    </row>
    <row r="12" spans="1:6">
      <c r="A12" s="7">
        <v>6604</v>
      </c>
      <c r="B12" s="7" t="s">
        <v>421</v>
      </c>
      <c r="C12" s="7">
        <v>250</v>
      </c>
      <c r="D12" s="7">
        <v>1.2</v>
      </c>
      <c r="E12" s="7">
        <f t="shared" si="0"/>
        <v>300</v>
      </c>
      <c r="F12" s="7" t="s">
        <v>22</v>
      </c>
    </row>
    <row r="13" spans="1:6">
      <c r="A13" s="7">
        <v>6364</v>
      </c>
      <c r="B13" s="7" t="s">
        <v>504</v>
      </c>
      <c r="C13" s="7">
        <v>250</v>
      </c>
      <c r="D13" s="7">
        <v>1.2</v>
      </c>
      <c r="E13" s="7">
        <f t="shared" si="0"/>
        <v>300</v>
      </c>
      <c r="F13" s="7" t="s">
        <v>22</v>
      </c>
    </row>
    <row r="14" spans="3:5">
      <c r="C14" s="8" t="s">
        <v>18</v>
      </c>
      <c r="D14" s="8"/>
      <c r="E14" s="8">
        <f>SUM(E7:E13)</f>
        <v>2100</v>
      </c>
    </row>
  </sheetData>
  <mergeCells count="7">
    <mergeCell ref="A3:C3"/>
    <mergeCell ref="D3:F3"/>
    <mergeCell ref="A4:C4"/>
    <mergeCell ref="D4:F4"/>
    <mergeCell ref="A5:F5"/>
    <mergeCell ref="C14:D14"/>
    <mergeCell ref="A1:F2"/>
  </mergeCells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I23" sqref="I23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539</v>
      </c>
      <c r="B3" s="1"/>
      <c r="C3" s="1"/>
      <c r="D3" s="1" t="s">
        <v>537</v>
      </c>
      <c r="E3" s="1"/>
      <c r="F3" s="1"/>
    </row>
    <row r="4" spans="1:6">
      <c r="A4" s="2" t="s">
        <v>61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6602</v>
      </c>
      <c r="B7" s="7" t="s">
        <v>419</v>
      </c>
      <c r="C7" s="7">
        <v>100</v>
      </c>
      <c r="D7" s="7">
        <v>3039</v>
      </c>
      <c r="E7" s="7">
        <f>C7*D7</f>
        <v>303900</v>
      </c>
      <c r="F7" s="7" t="s">
        <v>22</v>
      </c>
    </row>
    <row r="8" spans="1:6">
      <c r="A8" s="7">
        <v>6366</v>
      </c>
      <c r="B8" s="7" t="s">
        <v>503</v>
      </c>
      <c r="C8" s="7">
        <v>100</v>
      </c>
      <c r="D8" s="7">
        <v>3039</v>
      </c>
      <c r="E8" s="7">
        <f t="shared" ref="E8:E13" si="0">C8*D8</f>
        <v>303900</v>
      </c>
      <c r="F8" s="7" t="s">
        <v>22</v>
      </c>
    </row>
    <row r="9" spans="1:6">
      <c r="A9" s="7">
        <v>6255</v>
      </c>
      <c r="B9" s="7" t="s">
        <v>418</v>
      </c>
      <c r="C9" s="7">
        <v>100</v>
      </c>
      <c r="D9" s="7">
        <v>3039</v>
      </c>
      <c r="E9" s="7">
        <f t="shared" si="0"/>
        <v>303900</v>
      </c>
      <c r="F9" s="7" t="s">
        <v>22</v>
      </c>
    </row>
    <row r="10" spans="1:6">
      <c r="A10" s="7">
        <v>6365</v>
      </c>
      <c r="B10" s="7" t="s">
        <v>505</v>
      </c>
      <c r="C10" s="7">
        <v>100</v>
      </c>
      <c r="D10" s="7">
        <v>3039</v>
      </c>
      <c r="E10" s="7">
        <f t="shared" si="0"/>
        <v>303900</v>
      </c>
      <c r="F10" s="7" t="s">
        <v>22</v>
      </c>
    </row>
    <row r="11" spans="1:6">
      <c r="A11" s="7">
        <v>6280</v>
      </c>
      <c r="B11" s="7" t="s">
        <v>362</v>
      </c>
      <c r="C11" s="7">
        <v>100</v>
      </c>
      <c r="D11" s="7">
        <v>3039</v>
      </c>
      <c r="E11" s="7">
        <f t="shared" si="0"/>
        <v>303900</v>
      </c>
      <c r="F11" s="7" t="s">
        <v>22</v>
      </c>
    </row>
    <row r="12" spans="1:6">
      <c r="A12" s="7">
        <v>6604</v>
      </c>
      <c r="B12" s="7" t="s">
        <v>421</v>
      </c>
      <c r="C12" s="7">
        <v>100</v>
      </c>
      <c r="D12" s="7">
        <v>3039</v>
      </c>
      <c r="E12" s="7">
        <f t="shared" si="0"/>
        <v>303900</v>
      </c>
      <c r="F12" s="7" t="s">
        <v>22</v>
      </c>
    </row>
    <row r="13" spans="1:6">
      <c r="A13" s="7">
        <v>6364</v>
      </c>
      <c r="B13" s="7" t="s">
        <v>504</v>
      </c>
      <c r="C13" s="7">
        <v>100</v>
      </c>
      <c r="D13" s="7">
        <v>3039</v>
      </c>
      <c r="E13" s="7">
        <f t="shared" si="0"/>
        <v>303900</v>
      </c>
      <c r="F13" s="7" t="s">
        <v>22</v>
      </c>
    </row>
    <row r="14" spans="3:5">
      <c r="C14" s="8" t="s">
        <v>18</v>
      </c>
      <c r="D14" s="8"/>
      <c r="E14" s="8">
        <f>SUM(E7:E13)</f>
        <v>2127300</v>
      </c>
    </row>
  </sheetData>
  <mergeCells count="7">
    <mergeCell ref="A3:C3"/>
    <mergeCell ref="D3:F3"/>
    <mergeCell ref="A4:C4"/>
    <mergeCell ref="D4:F4"/>
    <mergeCell ref="A5:F5"/>
    <mergeCell ref="C14:D14"/>
    <mergeCell ref="A1:F2"/>
  </mergeCells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M38" sqref="M38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540</v>
      </c>
      <c r="B3" s="1"/>
      <c r="C3" s="1"/>
      <c r="D3" s="1" t="s">
        <v>537</v>
      </c>
      <c r="E3" s="1"/>
      <c r="F3" s="1"/>
    </row>
    <row r="4" spans="1:6">
      <c r="A4" s="2" t="s">
        <v>76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6410</v>
      </c>
      <c r="B7" s="7" t="s">
        <v>541</v>
      </c>
      <c r="C7" s="7">
        <v>50</v>
      </c>
      <c r="D7" s="7">
        <v>1.2</v>
      </c>
      <c r="E7" s="7">
        <f>C7*D7</f>
        <v>60</v>
      </c>
      <c r="F7" s="7" t="s">
        <v>22</v>
      </c>
    </row>
    <row r="8" spans="1:6">
      <c r="A8" s="7">
        <v>6416</v>
      </c>
      <c r="B8" s="7" t="s">
        <v>62</v>
      </c>
      <c r="C8" s="7">
        <v>50</v>
      </c>
      <c r="D8" s="7">
        <v>1.2</v>
      </c>
      <c r="E8" s="7">
        <f t="shared" ref="E8:E29" si="0">C8*D8</f>
        <v>60</v>
      </c>
      <c r="F8" s="7" t="s">
        <v>22</v>
      </c>
    </row>
    <row r="9" spans="1:6">
      <c r="A9" s="7">
        <v>6411</v>
      </c>
      <c r="B9" s="7" t="s">
        <v>542</v>
      </c>
      <c r="C9" s="7">
        <v>50</v>
      </c>
      <c r="D9" s="7">
        <v>1.2</v>
      </c>
      <c r="E9" s="7">
        <f t="shared" si="0"/>
        <v>60</v>
      </c>
      <c r="F9" s="7" t="s">
        <v>22</v>
      </c>
    </row>
    <row r="10" spans="1:6">
      <c r="A10" s="7">
        <v>6546</v>
      </c>
      <c r="B10" s="7" t="s">
        <v>543</v>
      </c>
      <c r="C10" s="7">
        <v>50</v>
      </c>
      <c r="D10" s="7">
        <v>1.2</v>
      </c>
      <c r="E10" s="7">
        <f t="shared" si="0"/>
        <v>60</v>
      </c>
      <c r="F10" s="7" t="s">
        <v>22</v>
      </c>
    </row>
    <row r="11" spans="1:6">
      <c r="A11" s="7">
        <v>6626</v>
      </c>
      <c r="B11" s="7" t="s">
        <v>544</v>
      </c>
      <c r="C11" s="7">
        <v>50</v>
      </c>
      <c r="D11" s="7">
        <v>1.2</v>
      </c>
      <c r="E11" s="7">
        <f t="shared" si="0"/>
        <v>60</v>
      </c>
      <c r="F11" s="7" t="s">
        <v>22</v>
      </c>
    </row>
    <row r="12" spans="1:6">
      <c r="A12" s="7">
        <v>6629</v>
      </c>
      <c r="B12" s="7" t="s">
        <v>545</v>
      </c>
      <c r="C12" s="7">
        <v>50</v>
      </c>
      <c r="D12" s="7">
        <v>1.2</v>
      </c>
      <c r="E12" s="7">
        <f t="shared" si="0"/>
        <v>60</v>
      </c>
      <c r="F12" s="7" t="s">
        <v>22</v>
      </c>
    </row>
    <row r="13" spans="1:6">
      <c r="A13" s="7">
        <v>6630</v>
      </c>
      <c r="B13" s="7" t="s">
        <v>546</v>
      </c>
      <c r="C13" s="7">
        <v>50</v>
      </c>
      <c r="D13" s="7">
        <v>1.2</v>
      </c>
      <c r="E13" s="7">
        <f t="shared" si="0"/>
        <v>60</v>
      </c>
      <c r="F13" s="7" t="s">
        <v>22</v>
      </c>
    </row>
    <row r="14" spans="1:6">
      <c r="A14" s="7">
        <v>6631</v>
      </c>
      <c r="B14" s="7" t="s">
        <v>547</v>
      </c>
      <c r="C14" s="7">
        <v>50</v>
      </c>
      <c r="D14" s="7">
        <v>1.2</v>
      </c>
      <c r="E14" s="7">
        <f t="shared" si="0"/>
        <v>60</v>
      </c>
      <c r="F14" s="7" t="s">
        <v>22</v>
      </c>
    </row>
    <row r="15" spans="1:6">
      <c r="A15" s="7">
        <v>6416</v>
      </c>
      <c r="B15" s="7" t="s">
        <v>62</v>
      </c>
      <c r="C15" s="7">
        <v>50</v>
      </c>
      <c r="D15" s="7">
        <v>1.2</v>
      </c>
      <c r="E15" s="7">
        <f t="shared" si="0"/>
        <v>60</v>
      </c>
      <c r="F15" s="7" t="s">
        <v>22</v>
      </c>
    </row>
    <row r="16" spans="1:6">
      <c r="A16" s="7">
        <v>6633</v>
      </c>
      <c r="B16" s="7" t="s">
        <v>548</v>
      </c>
      <c r="C16" s="7">
        <v>50</v>
      </c>
      <c r="D16" s="7">
        <v>1.2</v>
      </c>
      <c r="E16" s="7">
        <f t="shared" si="0"/>
        <v>60</v>
      </c>
      <c r="F16" s="7" t="s">
        <v>22</v>
      </c>
    </row>
    <row r="17" spans="1:6">
      <c r="A17" s="17">
        <v>6639</v>
      </c>
      <c r="B17" s="17" t="s">
        <v>549</v>
      </c>
      <c r="C17" s="17">
        <v>50</v>
      </c>
      <c r="D17" s="17">
        <v>1.2</v>
      </c>
      <c r="E17" s="17">
        <f t="shared" si="0"/>
        <v>60</v>
      </c>
      <c r="F17" s="7" t="s">
        <v>22</v>
      </c>
    </row>
    <row r="18" spans="1:6">
      <c r="A18" s="17">
        <v>6640</v>
      </c>
      <c r="B18" s="17" t="s">
        <v>183</v>
      </c>
      <c r="C18" s="17">
        <v>50</v>
      </c>
      <c r="D18" s="17">
        <v>1.2</v>
      </c>
      <c r="E18" s="17">
        <f t="shared" si="0"/>
        <v>60</v>
      </c>
      <c r="F18" s="7" t="s">
        <v>22</v>
      </c>
    </row>
    <row r="19" spans="1:6">
      <c r="A19" s="7">
        <v>6608</v>
      </c>
      <c r="B19" s="7" t="s">
        <v>550</v>
      </c>
      <c r="C19" s="7">
        <v>50</v>
      </c>
      <c r="D19" s="7">
        <v>1.2</v>
      </c>
      <c r="E19" s="7">
        <f t="shared" si="0"/>
        <v>60</v>
      </c>
      <c r="F19" s="7" t="s">
        <v>22</v>
      </c>
    </row>
    <row r="20" spans="1:6">
      <c r="A20" s="7">
        <v>6609</v>
      </c>
      <c r="B20" s="7" t="s">
        <v>551</v>
      </c>
      <c r="C20" s="7">
        <v>50</v>
      </c>
      <c r="D20" s="7">
        <v>1.2</v>
      </c>
      <c r="E20" s="7">
        <f t="shared" si="0"/>
        <v>60</v>
      </c>
      <c r="F20" s="7" t="s">
        <v>22</v>
      </c>
    </row>
    <row r="21" spans="1:6">
      <c r="A21" s="7">
        <v>6610</v>
      </c>
      <c r="B21" s="7" t="s">
        <v>552</v>
      </c>
      <c r="C21" s="7">
        <v>50</v>
      </c>
      <c r="D21" s="7">
        <v>1.2</v>
      </c>
      <c r="E21" s="7">
        <f t="shared" si="0"/>
        <v>60</v>
      </c>
      <c r="F21" s="7" t="s">
        <v>22</v>
      </c>
    </row>
    <row r="22" spans="1:6">
      <c r="A22" s="7">
        <v>6611</v>
      </c>
      <c r="B22" s="7" t="s">
        <v>553</v>
      </c>
      <c r="C22" s="7">
        <v>50</v>
      </c>
      <c r="D22" s="7">
        <v>1.2</v>
      </c>
      <c r="E22" s="7">
        <f t="shared" si="0"/>
        <v>60</v>
      </c>
      <c r="F22" s="7" t="s">
        <v>22</v>
      </c>
    </row>
    <row r="23" spans="1:6">
      <c r="A23" s="7">
        <v>6164</v>
      </c>
      <c r="B23" s="7" t="s">
        <v>554</v>
      </c>
      <c r="C23" s="7">
        <v>50</v>
      </c>
      <c r="D23" s="7">
        <v>1.2</v>
      </c>
      <c r="E23" s="7">
        <f t="shared" si="0"/>
        <v>60</v>
      </c>
      <c r="F23" s="7" t="s">
        <v>22</v>
      </c>
    </row>
    <row r="24" spans="1:6">
      <c r="A24" s="7">
        <v>6166</v>
      </c>
      <c r="B24" s="7" t="s">
        <v>555</v>
      </c>
      <c r="C24" s="7">
        <v>50</v>
      </c>
      <c r="D24" s="7">
        <v>1.2</v>
      </c>
      <c r="E24" s="7">
        <f t="shared" si="0"/>
        <v>60</v>
      </c>
      <c r="F24" s="7" t="s">
        <v>22</v>
      </c>
    </row>
    <row r="25" spans="1:6">
      <c r="A25" s="7">
        <v>6613</v>
      </c>
      <c r="B25" s="7" t="s">
        <v>556</v>
      </c>
      <c r="C25" s="7">
        <v>50</v>
      </c>
      <c r="D25" s="7">
        <v>1.2</v>
      </c>
      <c r="E25" s="7">
        <f t="shared" si="0"/>
        <v>60</v>
      </c>
      <c r="F25" s="7" t="s">
        <v>22</v>
      </c>
    </row>
    <row r="26" spans="1:6">
      <c r="A26" s="7">
        <v>6607</v>
      </c>
      <c r="B26" s="7" t="s">
        <v>557</v>
      </c>
      <c r="C26" s="7">
        <v>50</v>
      </c>
      <c r="D26" s="7">
        <v>1.2</v>
      </c>
      <c r="E26" s="7">
        <f t="shared" si="0"/>
        <v>60</v>
      </c>
      <c r="F26" s="7" t="s">
        <v>22</v>
      </c>
    </row>
    <row r="27" spans="1:6">
      <c r="A27" s="7">
        <v>6606</v>
      </c>
      <c r="B27" s="7" t="s">
        <v>558</v>
      </c>
      <c r="C27" s="7">
        <v>50</v>
      </c>
      <c r="D27" s="7">
        <v>1.2</v>
      </c>
      <c r="E27" s="7">
        <f t="shared" si="0"/>
        <v>60</v>
      </c>
      <c r="F27" s="7" t="s">
        <v>22</v>
      </c>
    </row>
    <row r="28" spans="1:6">
      <c r="A28" s="7">
        <v>6614</v>
      </c>
      <c r="B28" s="7" t="s">
        <v>559</v>
      </c>
      <c r="C28" s="7">
        <v>50</v>
      </c>
      <c r="D28" s="7">
        <v>1.2</v>
      </c>
      <c r="E28" s="7">
        <f t="shared" si="0"/>
        <v>60</v>
      </c>
      <c r="F28" s="7" t="s">
        <v>22</v>
      </c>
    </row>
    <row r="29" spans="1:6">
      <c r="A29" s="7">
        <v>6617</v>
      </c>
      <c r="B29" s="7" t="s">
        <v>560</v>
      </c>
      <c r="C29" s="7">
        <v>50</v>
      </c>
      <c r="D29" s="7">
        <v>1.2</v>
      </c>
      <c r="E29" s="7">
        <f t="shared" si="0"/>
        <v>60</v>
      </c>
      <c r="F29" s="7" t="s">
        <v>22</v>
      </c>
    </row>
    <row r="30" spans="3:5">
      <c r="C30" s="8" t="s">
        <v>18</v>
      </c>
      <c r="D30" s="8"/>
      <c r="E30" s="8">
        <f>SUM(E7:E29)</f>
        <v>1380</v>
      </c>
    </row>
  </sheetData>
  <mergeCells count="7">
    <mergeCell ref="A3:C3"/>
    <mergeCell ref="D3:F3"/>
    <mergeCell ref="A4:C4"/>
    <mergeCell ref="D4:F4"/>
    <mergeCell ref="A5:F5"/>
    <mergeCell ref="C30:D30"/>
    <mergeCell ref="A1:F2"/>
  </mergeCells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opLeftCell="A3" workbookViewId="0">
      <selection activeCell="J26" sqref="J26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561</v>
      </c>
      <c r="B3" s="1"/>
      <c r="C3" s="1"/>
      <c r="D3" s="1" t="s">
        <v>537</v>
      </c>
      <c r="E3" s="1"/>
      <c r="F3" s="1"/>
    </row>
    <row r="4" spans="1:6">
      <c r="A4" s="2" t="s">
        <v>3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6410</v>
      </c>
      <c r="B7" s="7" t="s">
        <v>541</v>
      </c>
      <c r="C7" s="7">
        <v>350</v>
      </c>
      <c r="D7" s="7">
        <v>1.2</v>
      </c>
      <c r="E7" s="7">
        <f>C7*D7</f>
        <v>420</v>
      </c>
      <c r="F7" s="7" t="s">
        <v>22</v>
      </c>
    </row>
    <row r="8" spans="1:6">
      <c r="A8" s="7">
        <v>6416</v>
      </c>
      <c r="B8" s="7" t="s">
        <v>62</v>
      </c>
      <c r="C8" s="7">
        <v>350</v>
      </c>
      <c r="D8" s="7">
        <v>1.2</v>
      </c>
      <c r="E8" s="7">
        <f t="shared" ref="E8:E29" si="0">C8*D8</f>
        <v>420</v>
      </c>
      <c r="F8" s="7" t="s">
        <v>22</v>
      </c>
    </row>
    <row r="9" spans="1:6">
      <c r="A9" s="7">
        <v>6411</v>
      </c>
      <c r="B9" s="7" t="s">
        <v>542</v>
      </c>
      <c r="C9" s="7">
        <v>350</v>
      </c>
      <c r="D9" s="7">
        <v>1.2</v>
      </c>
      <c r="E9" s="7">
        <f t="shared" si="0"/>
        <v>420</v>
      </c>
      <c r="F9" s="7" t="s">
        <v>22</v>
      </c>
    </row>
    <row r="10" spans="1:6">
      <c r="A10" s="7">
        <v>6546</v>
      </c>
      <c r="B10" s="7" t="s">
        <v>543</v>
      </c>
      <c r="C10" s="7">
        <v>350</v>
      </c>
      <c r="D10" s="7">
        <v>1.2</v>
      </c>
      <c r="E10" s="7">
        <f t="shared" si="0"/>
        <v>420</v>
      </c>
      <c r="F10" s="7" t="s">
        <v>22</v>
      </c>
    </row>
    <row r="11" spans="1:6">
      <c r="A11" s="7">
        <v>6626</v>
      </c>
      <c r="B11" s="7" t="s">
        <v>544</v>
      </c>
      <c r="C11" s="7">
        <v>350</v>
      </c>
      <c r="D11" s="7">
        <v>1.2</v>
      </c>
      <c r="E11" s="7">
        <f t="shared" si="0"/>
        <v>420</v>
      </c>
      <c r="F11" s="7" t="s">
        <v>22</v>
      </c>
    </row>
    <row r="12" spans="1:6">
      <c r="A12" s="7">
        <v>6629</v>
      </c>
      <c r="B12" s="7" t="s">
        <v>545</v>
      </c>
      <c r="C12" s="7">
        <v>350</v>
      </c>
      <c r="D12" s="7">
        <v>1.2</v>
      </c>
      <c r="E12" s="7">
        <f t="shared" si="0"/>
        <v>420</v>
      </c>
      <c r="F12" s="7" t="s">
        <v>22</v>
      </c>
    </row>
    <row r="13" spans="1:6">
      <c r="A13" s="7">
        <v>6630</v>
      </c>
      <c r="B13" s="7" t="s">
        <v>546</v>
      </c>
      <c r="C13" s="7">
        <v>350</v>
      </c>
      <c r="D13" s="7">
        <v>1.2</v>
      </c>
      <c r="E13" s="7">
        <f t="shared" si="0"/>
        <v>420</v>
      </c>
      <c r="F13" s="7" t="s">
        <v>22</v>
      </c>
    </row>
    <row r="14" spans="1:6">
      <c r="A14" s="7">
        <v>6631</v>
      </c>
      <c r="B14" s="7" t="s">
        <v>547</v>
      </c>
      <c r="C14" s="7">
        <v>350</v>
      </c>
      <c r="D14" s="7">
        <v>1.2</v>
      </c>
      <c r="E14" s="7">
        <f t="shared" si="0"/>
        <v>420</v>
      </c>
      <c r="F14" s="7" t="s">
        <v>22</v>
      </c>
    </row>
    <row r="15" spans="1:6">
      <c r="A15" s="7">
        <v>6416</v>
      </c>
      <c r="B15" s="7" t="s">
        <v>62</v>
      </c>
      <c r="C15" s="7">
        <v>350</v>
      </c>
      <c r="D15" s="7">
        <v>1.2</v>
      </c>
      <c r="E15" s="7">
        <f t="shared" si="0"/>
        <v>420</v>
      </c>
      <c r="F15" s="7" t="s">
        <v>22</v>
      </c>
    </row>
    <row r="16" spans="1:6">
      <c r="A16" s="7">
        <v>6633</v>
      </c>
      <c r="B16" s="7" t="s">
        <v>548</v>
      </c>
      <c r="C16" s="7">
        <v>350</v>
      </c>
      <c r="D16" s="7">
        <v>1.2</v>
      </c>
      <c r="E16" s="7">
        <f t="shared" si="0"/>
        <v>420</v>
      </c>
      <c r="F16" s="7" t="s">
        <v>22</v>
      </c>
    </row>
    <row r="17" spans="1:6">
      <c r="A17" s="7">
        <v>6639</v>
      </c>
      <c r="B17" s="7" t="s">
        <v>549</v>
      </c>
      <c r="C17" s="7">
        <v>350</v>
      </c>
      <c r="D17" s="7">
        <v>1.2</v>
      </c>
      <c r="E17" s="7">
        <f t="shared" si="0"/>
        <v>420</v>
      </c>
      <c r="F17" s="7" t="s">
        <v>22</v>
      </c>
    </row>
    <row r="18" spans="1:6">
      <c r="A18" s="7">
        <v>6640</v>
      </c>
      <c r="B18" s="7" t="s">
        <v>183</v>
      </c>
      <c r="C18" s="7">
        <v>350</v>
      </c>
      <c r="D18" s="7">
        <v>1.2</v>
      </c>
      <c r="E18" s="7">
        <f t="shared" si="0"/>
        <v>420</v>
      </c>
      <c r="F18" s="7" t="s">
        <v>22</v>
      </c>
    </row>
    <row r="19" spans="1:6">
      <c r="A19" s="7">
        <v>6608</v>
      </c>
      <c r="B19" s="7" t="s">
        <v>550</v>
      </c>
      <c r="C19" s="7">
        <v>350</v>
      </c>
      <c r="D19" s="7">
        <v>1.2</v>
      </c>
      <c r="E19" s="7">
        <f t="shared" si="0"/>
        <v>420</v>
      </c>
      <c r="F19" s="7" t="s">
        <v>22</v>
      </c>
    </row>
    <row r="20" spans="1:6">
      <c r="A20" s="7">
        <v>6609</v>
      </c>
      <c r="B20" s="7" t="s">
        <v>551</v>
      </c>
      <c r="C20" s="7">
        <v>350</v>
      </c>
      <c r="D20" s="7">
        <v>1.2</v>
      </c>
      <c r="E20" s="7">
        <f t="shared" si="0"/>
        <v>420</v>
      </c>
      <c r="F20" s="7" t="s">
        <v>22</v>
      </c>
    </row>
    <row r="21" spans="1:6">
      <c r="A21" s="7">
        <v>6610</v>
      </c>
      <c r="B21" s="7" t="s">
        <v>552</v>
      </c>
      <c r="C21" s="7">
        <v>350</v>
      </c>
      <c r="D21" s="7">
        <v>1.2</v>
      </c>
      <c r="E21" s="7">
        <f t="shared" si="0"/>
        <v>420</v>
      </c>
      <c r="F21" s="7" t="s">
        <v>22</v>
      </c>
    </row>
    <row r="22" spans="1:6">
      <c r="A22" s="7">
        <v>6611</v>
      </c>
      <c r="B22" s="7" t="s">
        <v>553</v>
      </c>
      <c r="C22" s="7">
        <v>350</v>
      </c>
      <c r="D22" s="7">
        <v>1.2</v>
      </c>
      <c r="E22" s="7">
        <f t="shared" si="0"/>
        <v>420</v>
      </c>
      <c r="F22" s="7" t="s">
        <v>22</v>
      </c>
    </row>
    <row r="23" spans="1:6">
      <c r="A23" s="7">
        <v>6164</v>
      </c>
      <c r="B23" s="7" t="s">
        <v>554</v>
      </c>
      <c r="C23" s="7">
        <v>350</v>
      </c>
      <c r="D23" s="7">
        <v>1.2</v>
      </c>
      <c r="E23" s="7">
        <f t="shared" si="0"/>
        <v>420</v>
      </c>
      <c r="F23" s="7" t="s">
        <v>22</v>
      </c>
    </row>
    <row r="24" spans="1:6">
      <c r="A24" s="7">
        <v>6166</v>
      </c>
      <c r="B24" s="7" t="s">
        <v>555</v>
      </c>
      <c r="C24" s="7">
        <v>350</v>
      </c>
      <c r="D24" s="7">
        <v>1.2</v>
      </c>
      <c r="E24" s="7">
        <f t="shared" si="0"/>
        <v>420</v>
      </c>
      <c r="F24" s="7" t="s">
        <v>22</v>
      </c>
    </row>
    <row r="25" spans="1:6">
      <c r="A25" s="7">
        <v>6613</v>
      </c>
      <c r="B25" s="7" t="s">
        <v>556</v>
      </c>
      <c r="C25" s="7">
        <v>350</v>
      </c>
      <c r="D25" s="7">
        <v>1.2</v>
      </c>
      <c r="E25" s="7">
        <f t="shared" si="0"/>
        <v>420</v>
      </c>
      <c r="F25" s="7" t="s">
        <v>22</v>
      </c>
    </row>
    <row r="26" spans="1:6">
      <c r="A26" s="7">
        <v>6607</v>
      </c>
      <c r="B26" s="7" t="s">
        <v>557</v>
      </c>
      <c r="C26" s="7">
        <v>350</v>
      </c>
      <c r="D26" s="7">
        <v>1.2</v>
      </c>
      <c r="E26" s="7">
        <f t="shared" si="0"/>
        <v>420</v>
      </c>
      <c r="F26" s="7" t="s">
        <v>22</v>
      </c>
    </row>
    <row r="27" spans="1:6">
      <c r="A27" s="7">
        <v>6606</v>
      </c>
      <c r="B27" s="7" t="s">
        <v>558</v>
      </c>
      <c r="C27" s="7">
        <v>350</v>
      </c>
      <c r="D27" s="7">
        <v>1.2</v>
      </c>
      <c r="E27" s="7">
        <f t="shared" si="0"/>
        <v>420</v>
      </c>
      <c r="F27" s="7" t="s">
        <v>22</v>
      </c>
    </row>
    <row r="28" spans="1:6">
      <c r="A28" s="7">
        <v>6614</v>
      </c>
      <c r="B28" s="7" t="s">
        <v>559</v>
      </c>
      <c r="C28" s="7">
        <v>350</v>
      </c>
      <c r="D28" s="7">
        <v>1.2</v>
      </c>
      <c r="E28" s="7">
        <f t="shared" si="0"/>
        <v>420</v>
      </c>
      <c r="F28" s="7" t="s">
        <v>22</v>
      </c>
    </row>
    <row r="29" spans="1:6">
      <c r="A29" s="7">
        <v>6617</v>
      </c>
      <c r="B29" s="7" t="s">
        <v>560</v>
      </c>
      <c r="C29" s="7">
        <v>350</v>
      </c>
      <c r="D29" s="7">
        <v>1.2</v>
      </c>
      <c r="E29" s="7">
        <f t="shared" si="0"/>
        <v>420</v>
      </c>
      <c r="F29" s="7" t="s">
        <v>22</v>
      </c>
    </row>
    <row r="30" spans="3:5">
      <c r="C30" s="8" t="s">
        <v>18</v>
      </c>
      <c r="D30" s="8"/>
      <c r="E30" s="8">
        <f>SUM(E7:E29)</f>
        <v>9660</v>
      </c>
    </row>
  </sheetData>
  <mergeCells count="7">
    <mergeCell ref="A3:C3"/>
    <mergeCell ref="D3:F3"/>
    <mergeCell ref="A4:C4"/>
    <mergeCell ref="D4:F4"/>
    <mergeCell ref="A5:F5"/>
    <mergeCell ref="C30:D30"/>
    <mergeCell ref="A1:F2"/>
  </mergeCells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33" sqref="F33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562</v>
      </c>
      <c r="B3" s="1"/>
      <c r="C3" s="1"/>
      <c r="D3" s="1" t="s">
        <v>537</v>
      </c>
      <c r="E3" s="1"/>
      <c r="F3" s="1"/>
    </row>
    <row r="4" spans="1:6">
      <c r="A4" s="2" t="s">
        <v>69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6410</v>
      </c>
      <c r="B7" s="7" t="s">
        <v>541</v>
      </c>
      <c r="C7" s="7">
        <v>40</v>
      </c>
      <c r="D7" s="7">
        <v>1.2</v>
      </c>
      <c r="E7" s="7">
        <f>C7*D7</f>
        <v>48</v>
      </c>
      <c r="F7" s="7" t="s">
        <v>22</v>
      </c>
    </row>
    <row r="8" spans="1:6">
      <c r="A8" s="7">
        <v>6416</v>
      </c>
      <c r="B8" s="7" t="s">
        <v>62</v>
      </c>
      <c r="C8" s="7">
        <v>40</v>
      </c>
      <c r="D8" s="7">
        <v>1.2</v>
      </c>
      <c r="E8" s="7">
        <f t="shared" ref="E8:E9" si="0">C8*D8</f>
        <v>48</v>
      </c>
      <c r="F8" s="7" t="s">
        <v>22</v>
      </c>
    </row>
    <row r="9" spans="1:6">
      <c r="A9" s="7">
        <v>6411</v>
      </c>
      <c r="B9" s="7" t="s">
        <v>542</v>
      </c>
      <c r="C9" s="7">
        <v>30</v>
      </c>
      <c r="D9" s="7">
        <v>1.2</v>
      </c>
      <c r="E9" s="7">
        <f t="shared" si="0"/>
        <v>36</v>
      </c>
      <c r="F9" s="7" t="s">
        <v>22</v>
      </c>
    </row>
    <row r="10" spans="3:5">
      <c r="C10" s="8" t="s">
        <v>18</v>
      </c>
      <c r="D10" s="8"/>
      <c r="E10" s="8">
        <f>SUM(E7:E9)</f>
        <v>132</v>
      </c>
    </row>
  </sheetData>
  <mergeCells count="7">
    <mergeCell ref="A3:C3"/>
    <mergeCell ref="D3:F3"/>
    <mergeCell ref="A4:C4"/>
    <mergeCell ref="D4:F4"/>
    <mergeCell ref="A5:F5"/>
    <mergeCell ref="C10:D10"/>
    <mergeCell ref="A1:F2"/>
  </mergeCells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G15" sqref="G15"/>
    </sheetView>
  </sheetViews>
  <sheetFormatPr defaultColWidth="9" defaultRowHeight="14.25" outlineLevelRow="7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563</v>
      </c>
      <c r="B3" s="1"/>
      <c r="C3" s="1"/>
      <c r="D3" s="1" t="s">
        <v>537</v>
      </c>
      <c r="E3" s="1"/>
      <c r="F3" s="1"/>
    </row>
    <row r="4" spans="1:6">
      <c r="A4" s="2" t="s">
        <v>56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 t="s">
        <v>49</v>
      </c>
      <c r="B7" s="7" t="s">
        <v>446</v>
      </c>
      <c r="C7" s="7">
        <v>210</v>
      </c>
      <c r="D7" s="7">
        <v>2710</v>
      </c>
      <c r="E7" s="7">
        <f>C7*D7</f>
        <v>569100</v>
      </c>
      <c r="F7" s="7" t="s">
        <v>49</v>
      </c>
    </row>
    <row r="8" spans="3:5">
      <c r="C8" s="8" t="s">
        <v>18</v>
      </c>
      <c r="D8" s="8"/>
      <c r="E8" s="8">
        <f>SUM(E7:E7)</f>
        <v>569100</v>
      </c>
    </row>
  </sheetData>
  <mergeCells count="7">
    <mergeCell ref="A3:C3"/>
    <mergeCell ref="D3:F3"/>
    <mergeCell ref="A4:C4"/>
    <mergeCell ref="D4:F4"/>
    <mergeCell ref="A5:F5"/>
    <mergeCell ref="C8:D8"/>
    <mergeCell ref="A1:F2"/>
  </mergeCells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K20" sqref="K20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564</v>
      </c>
      <c r="B3" s="1"/>
      <c r="C3" s="1"/>
      <c r="D3" s="1" t="s">
        <v>537</v>
      </c>
      <c r="E3" s="1"/>
      <c r="F3" s="1"/>
    </row>
    <row r="4" spans="1:6">
      <c r="A4" s="2" t="s">
        <v>302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7">
        <v>6711</v>
      </c>
      <c r="B7" s="46" t="s">
        <v>79</v>
      </c>
      <c r="C7" s="7">
        <v>450</v>
      </c>
      <c r="D7" s="7">
        <v>2730</v>
      </c>
      <c r="E7" s="7">
        <f>C7*D7</f>
        <v>1228500</v>
      </c>
      <c r="F7" s="7" t="s">
        <v>565</v>
      </c>
    </row>
    <row r="8" spans="1:6">
      <c r="A8" s="7">
        <v>6712</v>
      </c>
      <c r="B8" s="46" t="s">
        <v>80</v>
      </c>
      <c r="C8" s="8">
        <v>450</v>
      </c>
      <c r="D8" s="8">
        <v>2730</v>
      </c>
      <c r="E8" s="7">
        <f>C8*D8</f>
        <v>1228500</v>
      </c>
      <c r="F8" s="7" t="s">
        <v>565</v>
      </c>
    </row>
    <row r="9" spans="3:5">
      <c r="C9" s="8" t="s">
        <v>18</v>
      </c>
      <c r="D9" s="8"/>
      <c r="E9" s="8">
        <f>SUM(E7:E8)</f>
        <v>2457000</v>
      </c>
    </row>
  </sheetData>
  <mergeCells count="7">
    <mergeCell ref="A3:C3"/>
    <mergeCell ref="D3:F3"/>
    <mergeCell ref="A4:C4"/>
    <mergeCell ref="D4:F4"/>
    <mergeCell ref="A5:F5"/>
    <mergeCell ref="C9:D9"/>
    <mergeCell ref="A1:F2"/>
  </mergeCells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8" sqref="B8"/>
    </sheetView>
  </sheetViews>
  <sheetFormatPr defaultColWidth="9" defaultRowHeight="14.25" outlineLevelCol="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566</v>
      </c>
      <c r="B3" s="1"/>
      <c r="C3" s="1"/>
      <c r="D3" s="1" t="s">
        <v>567</v>
      </c>
      <c r="E3" s="1"/>
      <c r="F3" s="1"/>
    </row>
    <row r="4" spans="1:6">
      <c r="A4" s="2" t="s">
        <v>568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27">
        <v>6605</v>
      </c>
      <c r="B7" s="46" t="s">
        <v>569</v>
      </c>
      <c r="C7" s="7">
        <v>20</v>
      </c>
      <c r="D7" s="7">
        <v>1.2</v>
      </c>
      <c r="E7" s="7">
        <f>C7*D7</f>
        <v>24</v>
      </c>
      <c r="F7" s="27" t="s">
        <v>570</v>
      </c>
    </row>
    <row r="8" spans="1:6">
      <c r="A8" s="27">
        <v>6603</v>
      </c>
      <c r="B8" s="46" t="s">
        <v>420</v>
      </c>
      <c r="C8" s="8">
        <v>20</v>
      </c>
      <c r="D8" s="8">
        <v>1.2</v>
      </c>
      <c r="E8" s="7">
        <f t="shared" ref="E8:E11" si="0">C8*D8</f>
        <v>24</v>
      </c>
      <c r="F8" s="27" t="s">
        <v>570</v>
      </c>
    </row>
    <row r="9" spans="1:6">
      <c r="A9" s="7">
        <v>6602</v>
      </c>
      <c r="B9" s="46" t="s">
        <v>419</v>
      </c>
      <c r="C9" s="8">
        <v>20</v>
      </c>
      <c r="D9" s="8">
        <v>1.2</v>
      </c>
      <c r="E9" s="7">
        <f t="shared" si="0"/>
        <v>24</v>
      </c>
      <c r="F9" s="27" t="s">
        <v>570</v>
      </c>
    </row>
    <row r="10" spans="1:6">
      <c r="A10" s="27">
        <v>6604</v>
      </c>
      <c r="B10" s="46" t="s">
        <v>421</v>
      </c>
      <c r="C10" s="8">
        <v>20</v>
      </c>
      <c r="D10" s="8">
        <v>1.2</v>
      </c>
      <c r="E10" s="7">
        <f t="shared" si="0"/>
        <v>24</v>
      </c>
      <c r="F10" s="27" t="s">
        <v>570</v>
      </c>
    </row>
    <row r="11" spans="1:6">
      <c r="A11" s="27">
        <v>6255</v>
      </c>
      <c r="B11" s="46" t="s">
        <v>418</v>
      </c>
      <c r="C11" s="8">
        <v>20</v>
      </c>
      <c r="D11" s="8">
        <v>1.2</v>
      </c>
      <c r="E11" s="7">
        <f t="shared" si="0"/>
        <v>24</v>
      </c>
      <c r="F11" s="27" t="s">
        <v>570</v>
      </c>
    </row>
    <row r="12" spans="3:5">
      <c r="C12" s="8" t="s">
        <v>18</v>
      </c>
      <c r="D12" s="8"/>
      <c r="E12" s="8">
        <f>SUM(E7:E11)</f>
        <v>120</v>
      </c>
    </row>
  </sheetData>
  <mergeCells count="7">
    <mergeCell ref="A3:C3"/>
    <mergeCell ref="D3:F3"/>
    <mergeCell ref="A4:C4"/>
    <mergeCell ref="D4:F4"/>
    <mergeCell ref="A5:F5"/>
    <mergeCell ref="C12:D12"/>
    <mergeCell ref="A1:F2"/>
  </mergeCells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B9" sqref="B9"/>
    </sheetView>
  </sheetViews>
  <sheetFormatPr defaultColWidth="9" defaultRowHeight="14.25"/>
  <cols>
    <col min="5" max="5" width="12.4416666666667" customWidth="1"/>
    <col min="6" max="6" width="10.6666666666667" customWidth="1"/>
  </cols>
  <sheetData>
    <row r="1" spans="1:6">
      <c r="A1" s="47" t="s">
        <v>0</v>
      </c>
      <c r="B1" s="47"/>
      <c r="C1" s="47"/>
      <c r="D1" s="47"/>
      <c r="E1" s="47"/>
      <c r="F1" s="47"/>
    </row>
    <row r="2" spans="1:6">
      <c r="A2" s="47"/>
      <c r="B2" s="47"/>
      <c r="C2" s="47"/>
      <c r="D2" s="47"/>
      <c r="E2" s="47"/>
      <c r="F2" s="47"/>
    </row>
    <row r="3" spans="1:6">
      <c r="A3" s="1" t="s">
        <v>571</v>
      </c>
      <c r="B3" s="1"/>
      <c r="C3" s="1"/>
      <c r="D3" s="1" t="s">
        <v>572</v>
      </c>
      <c r="E3" s="1"/>
      <c r="F3" s="1"/>
    </row>
    <row r="4" spans="1:6">
      <c r="A4" s="2" t="s">
        <v>76</v>
      </c>
      <c r="B4" s="3"/>
      <c r="C4" s="4"/>
      <c r="D4" s="2" t="s">
        <v>4</v>
      </c>
      <c r="E4" s="3"/>
      <c r="F4" s="4"/>
    </row>
    <row r="5" spans="1:6">
      <c r="A5" s="5" t="s">
        <v>5</v>
      </c>
      <c r="B5" s="6"/>
      <c r="C5" s="6"/>
      <c r="D5" s="6"/>
      <c r="E5" s="10"/>
      <c r="F5" s="11"/>
    </row>
    <row r="6" spans="1: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 spans="1:6">
      <c r="A7" s="27">
        <v>6528</v>
      </c>
      <c r="B7" s="45" t="s">
        <v>573</v>
      </c>
      <c r="C7" s="7">
        <v>50</v>
      </c>
      <c r="D7" s="7">
        <v>1.2</v>
      </c>
      <c r="E7" s="7">
        <f>C7*D7</f>
        <v>60</v>
      </c>
      <c r="F7" s="27" t="s">
        <v>22</v>
      </c>
    </row>
    <row r="8" spans="1:6">
      <c r="A8" s="7">
        <v>6632</v>
      </c>
      <c r="B8" s="45" t="s">
        <v>574</v>
      </c>
      <c r="C8" s="7">
        <v>50</v>
      </c>
      <c r="D8" s="7">
        <v>1.2</v>
      </c>
      <c r="E8" s="7">
        <f t="shared" ref="E8:E26" si="0">C8*D8</f>
        <v>60</v>
      </c>
      <c r="F8" s="27" t="s">
        <v>22</v>
      </c>
    </row>
    <row r="9" spans="1:6">
      <c r="A9" s="27">
        <v>6530</v>
      </c>
      <c r="B9" s="45" t="s">
        <v>575</v>
      </c>
      <c r="C9" s="7">
        <v>50</v>
      </c>
      <c r="D9" s="7">
        <v>1.2</v>
      </c>
      <c r="E9" s="7">
        <f t="shared" si="0"/>
        <v>60</v>
      </c>
      <c r="F9" s="27" t="s">
        <v>22</v>
      </c>
    </row>
    <row r="10" spans="1:6">
      <c r="A10" s="27">
        <v>6532</v>
      </c>
      <c r="B10" s="45" t="s">
        <v>576</v>
      </c>
      <c r="C10" s="7">
        <v>50</v>
      </c>
      <c r="D10" s="7">
        <v>1.2</v>
      </c>
      <c r="E10" s="7">
        <f t="shared" si="0"/>
        <v>60</v>
      </c>
      <c r="F10" s="27" t="s">
        <v>22</v>
      </c>
    </row>
    <row r="11" spans="1:13">
      <c r="A11" s="27">
        <v>6536</v>
      </c>
      <c r="B11" s="45" t="s">
        <v>577</v>
      </c>
      <c r="C11" s="7">
        <v>50</v>
      </c>
      <c r="D11" s="7">
        <v>1.2</v>
      </c>
      <c r="E11" s="7">
        <f t="shared" si="0"/>
        <v>60</v>
      </c>
      <c r="F11" s="27" t="s">
        <v>22</v>
      </c>
      <c r="M11" s="40"/>
    </row>
    <row r="12" spans="1:13">
      <c r="A12" s="27">
        <v>6538</v>
      </c>
      <c r="B12" s="45" t="s">
        <v>578</v>
      </c>
      <c r="C12" s="7">
        <v>50</v>
      </c>
      <c r="D12" s="7">
        <v>1.2</v>
      </c>
      <c r="E12" s="7">
        <f t="shared" si="0"/>
        <v>60</v>
      </c>
      <c r="F12" s="27" t="s">
        <v>22</v>
      </c>
      <c r="M12" s="40"/>
    </row>
    <row r="13" spans="1:13">
      <c r="A13" s="27">
        <v>6540</v>
      </c>
      <c r="B13" s="45" t="s">
        <v>579</v>
      </c>
      <c r="C13" s="7">
        <v>50</v>
      </c>
      <c r="D13" s="7">
        <v>1.2</v>
      </c>
      <c r="E13" s="7">
        <f t="shared" si="0"/>
        <v>60</v>
      </c>
      <c r="F13" s="27" t="s">
        <v>22</v>
      </c>
      <c r="M13" s="40"/>
    </row>
    <row r="14" spans="1:13">
      <c r="A14" s="27">
        <v>6529</v>
      </c>
      <c r="B14" s="45" t="s">
        <v>580</v>
      </c>
      <c r="C14" s="7">
        <v>50</v>
      </c>
      <c r="D14" s="7">
        <v>1.2</v>
      </c>
      <c r="E14" s="7">
        <f t="shared" si="0"/>
        <v>60</v>
      </c>
      <c r="F14" s="27" t="s">
        <v>22</v>
      </c>
      <c r="M14" s="40"/>
    </row>
    <row r="15" spans="1:13">
      <c r="A15" s="27">
        <v>6534</v>
      </c>
      <c r="B15" s="45" t="s">
        <v>581</v>
      </c>
      <c r="C15" s="7">
        <v>50</v>
      </c>
      <c r="D15" s="7">
        <v>1.2</v>
      </c>
      <c r="E15" s="7">
        <f t="shared" si="0"/>
        <v>60</v>
      </c>
      <c r="F15" s="27" t="s">
        <v>22</v>
      </c>
      <c r="M15" s="40"/>
    </row>
    <row r="16" spans="1:13">
      <c r="A16" s="7">
        <v>6507</v>
      </c>
      <c r="B16" s="45" t="s">
        <v>582</v>
      </c>
      <c r="C16" s="7">
        <v>50</v>
      </c>
      <c r="D16" s="7">
        <v>1.2</v>
      </c>
      <c r="E16" s="7">
        <f t="shared" si="0"/>
        <v>60</v>
      </c>
      <c r="F16" s="27" t="s">
        <v>22</v>
      </c>
      <c r="M16" s="40"/>
    </row>
    <row r="17" spans="1:17">
      <c r="A17" s="7">
        <v>6509</v>
      </c>
      <c r="B17" s="45" t="s">
        <v>583</v>
      </c>
      <c r="C17" s="7">
        <v>50</v>
      </c>
      <c r="D17" s="7">
        <v>1.2</v>
      </c>
      <c r="E17" s="7">
        <f t="shared" si="0"/>
        <v>60</v>
      </c>
      <c r="F17" s="27" t="s">
        <v>22</v>
      </c>
      <c r="M17" s="40"/>
      <c r="Q17" s="46"/>
    </row>
    <row r="18" spans="1:13">
      <c r="A18" s="7">
        <v>6510</v>
      </c>
      <c r="B18" s="45" t="s">
        <v>584</v>
      </c>
      <c r="C18" s="7">
        <v>50</v>
      </c>
      <c r="D18" s="7">
        <v>1.2</v>
      </c>
      <c r="E18" s="7">
        <f t="shared" si="0"/>
        <v>60</v>
      </c>
      <c r="F18" s="27" t="s">
        <v>22</v>
      </c>
      <c r="M18" s="40"/>
    </row>
    <row r="19" spans="1:13">
      <c r="A19" s="7">
        <v>6508</v>
      </c>
      <c r="B19" s="45" t="s">
        <v>585</v>
      </c>
      <c r="C19" s="7">
        <v>50</v>
      </c>
      <c r="D19" s="7">
        <v>1.2</v>
      </c>
      <c r="E19" s="7">
        <f t="shared" si="0"/>
        <v>60</v>
      </c>
      <c r="F19" s="27" t="s">
        <v>22</v>
      </c>
      <c r="M19" s="40"/>
    </row>
    <row r="20" spans="1:13">
      <c r="A20" s="7">
        <v>6505</v>
      </c>
      <c r="B20" s="45" t="s">
        <v>586</v>
      </c>
      <c r="C20" s="7">
        <v>50</v>
      </c>
      <c r="D20" s="7">
        <v>1.2</v>
      </c>
      <c r="E20" s="7">
        <f t="shared" si="0"/>
        <v>60</v>
      </c>
      <c r="F20" s="27" t="s">
        <v>22</v>
      </c>
      <c r="M20" s="40"/>
    </row>
    <row r="21" spans="1:13">
      <c r="A21" s="7">
        <v>6506</v>
      </c>
      <c r="B21" s="45" t="s">
        <v>587</v>
      </c>
      <c r="C21" s="7">
        <v>50</v>
      </c>
      <c r="D21" s="7">
        <v>1.2</v>
      </c>
      <c r="E21" s="7">
        <f t="shared" si="0"/>
        <v>60</v>
      </c>
      <c r="F21" s="27" t="s">
        <v>22</v>
      </c>
      <c r="M21" s="40"/>
    </row>
    <row r="22" spans="1:13">
      <c r="A22" s="27">
        <v>6642</v>
      </c>
      <c r="B22" s="45" t="s">
        <v>588</v>
      </c>
      <c r="C22" s="7">
        <v>50</v>
      </c>
      <c r="D22" s="7">
        <v>1.2</v>
      </c>
      <c r="E22" s="7">
        <f t="shared" si="0"/>
        <v>60</v>
      </c>
      <c r="F22" s="27" t="s">
        <v>22</v>
      </c>
      <c r="M22" s="40"/>
    </row>
    <row r="23" spans="1:13">
      <c r="A23" s="7">
        <v>6616</v>
      </c>
      <c r="B23" s="45" t="s">
        <v>589</v>
      </c>
      <c r="C23" s="7">
        <v>50</v>
      </c>
      <c r="D23" s="7">
        <v>1.2</v>
      </c>
      <c r="E23" s="7">
        <f t="shared" si="0"/>
        <v>60</v>
      </c>
      <c r="F23" s="27" t="s">
        <v>22</v>
      </c>
      <c r="M23" s="40"/>
    </row>
    <row r="24" spans="1:13">
      <c r="A24" s="7">
        <v>6618</v>
      </c>
      <c r="B24" s="45" t="s">
        <v>590</v>
      </c>
      <c r="C24" s="7">
        <v>50</v>
      </c>
      <c r="D24" s="7">
        <v>1.2</v>
      </c>
      <c r="E24" s="7">
        <f t="shared" si="0"/>
        <v>60</v>
      </c>
      <c r="F24" s="27" t="s">
        <v>22</v>
      </c>
      <c r="M24" s="40"/>
    </row>
    <row r="25" spans="1:13">
      <c r="A25" s="7">
        <v>6729</v>
      </c>
      <c r="B25" s="45" t="s">
        <v>591</v>
      </c>
      <c r="C25" s="7">
        <v>50</v>
      </c>
      <c r="D25" s="7">
        <v>1.2</v>
      </c>
      <c r="E25" s="7">
        <f t="shared" si="0"/>
        <v>60</v>
      </c>
      <c r="F25" s="27" t="s">
        <v>22</v>
      </c>
      <c r="M25" s="40"/>
    </row>
    <row r="26" spans="1:13">
      <c r="A26" s="7">
        <v>6730</v>
      </c>
      <c r="B26" s="45" t="s">
        <v>204</v>
      </c>
      <c r="C26" s="7">
        <v>50</v>
      </c>
      <c r="D26" s="7">
        <v>1.2</v>
      </c>
      <c r="E26" s="7">
        <f t="shared" si="0"/>
        <v>60</v>
      </c>
      <c r="F26" s="27" t="s">
        <v>22</v>
      </c>
      <c r="M26" s="40"/>
    </row>
    <row r="27" spans="3:13">
      <c r="C27" s="8" t="s">
        <v>18</v>
      </c>
      <c r="D27" s="8"/>
      <c r="E27" s="8">
        <f>SUM(E7:E26)</f>
        <v>1200</v>
      </c>
      <c r="M27" s="40"/>
    </row>
    <row r="28" spans="13:13">
      <c r="M28" s="40"/>
    </row>
    <row r="29" spans="13:13">
      <c r="M29" s="40"/>
    </row>
    <row r="30" spans="13:13">
      <c r="M30" s="40"/>
    </row>
    <row r="31" spans="13:13">
      <c r="M31" s="12"/>
    </row>
  </sheetData>
  <mergeCells count="7">
    <mergeCell ref="A3:C3"/>
    <mergeCell ref="D3:F3"/>
    <mergeCell ref="A4:C4"/>
    <mergeCell ref="D4:F4"/>
    <mergeCell ref="A5:F5"/>
    <mergeCell ref="C27:D27"/>
    <mergeCell ref="A1:F2"/>
  </mergeCells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selection activeCell="I12" sqref="I12"/>
    </sheetView>
  </sheetViews>
  <sheetFormatPr defaultColWidth="9" defaultRowHeight="14.25"/>
  <cols>
    <col min="5" max="5" width="12.4416666666667" customWidth="1"/>
    <col min="6" max="6" width="10.6666666666667" customWidth="1"/>
  </cols>
  <sheetData>
    <row r="1" spans="1:6">
      <c r="A1" s="1" t="s">
        <v>592</v>
      </c>
      <c r="B1" s="1"/>
      <c r="C1" s="1"/>
      <c r="D1" s="1" t="s">
        <v>572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6528</v>
      </c>
      <c r="B5" s="45" t="s">
        <v>573</v>
      </c>
      <c r="C5" s="7">
        <v>350</v>
      </c>
      <c r="D5" s="7">
        <v>1.2</v>
      </c>
      <c r="E5" s="7">
        <f t="shared" ref="E5:E24" si="0">C5*D5</f>
        <v>420</v>
      </c>
      <c r="F5" s="27" t="s">
        <v>22</v>
      </c>
    </row>
    <row r="6" spans="1:6">
      <c r="A6" s="7">
        <v>6632</v>
      </c>
      <c r="B6" s="45" t="s">
        <v>574</v>
      </c>
      <c r="C6" s="7">
        <v>350</v>
      </c>
      <c r="D6" s="7">
        <v>1.2</v>
      </c>
      <c r="E6" s="7">
        <f t="shared" si="0"/>
        <v>420</v>
      </c>
      <c r="F6" s="27" t="s">
        <v>22</v>
      </c>
    </row>
    <row r="7" spans="1:6">
      <c r="A7" s="27">
        <v>6530</v>
      </c>
      <c r="B7" s="45" t="s">
        <v>575</v>
      </c>
      <c r="C7" s="7">
        <v>350</v>
      </c>
      <c r="D7" s="7">
        <v>1.2</v>
      </c>
      <c r="E7" s="7">
        <f t="shared" si="0"/>
        <v>420</v>
      </c>
      <c r="F7" s="27" t="s">
        <v>22</v>
      </c>
    </row>
    <row r="8" spans="1:6">
      <c r="A8" s="27">
        <v>6532</v>
      </c>
      <c r="B8" s="45" t="s">
        <v>576</v>
      </c>
      <c r="C8" s="7">
        <v>350</v>
      </c>
      <c r="D8" s="7">
        <v>1.2</v>
      </c>
      <c r="E8" s="7">
        <f t="shared" si="0"/>
        <v>420</v>
      </c>
      <c r="F8" s="27" t="s">
        <v>22</v>
      </c>
    </row>
    <row r="9" spans="1:13">
      <c r="A9" s="27">
        <v>6536</v>
      </c>
      <c r="B9" s="45" t="s">
        <v>577</v>
      </c>
      <c r="C9" s="7">
        <v>350</v>
      </c>
      <c r="D9" s="7">
        <v>1.2</v>
      </c>
      <c r="E9" s="7">
        <f t="shared" si="0"/>
        <v>420</v>
      </c>
      <c r="F9" s="27" t="s">
        <v>22</v>
      </c>
      <c r="M9" s="40"/>
    </row>
    <row r="10" spans="1:13">
      <c r="A10" s="27">
        <v>6538</v>
      </c>
      <c r="B10" s="45" t="s">
        <v>578</v>
      </c>
      <c r="C10" s="7">
        <v>350</v>
      </c>
      <c r="D10" s="7">
        <v>1.2</v>
      </c>
      <c r="E10" s="7">
        <f t="shared" si="0"/>
        <v>420</v>
      </c>
      <c r="F10" s="27" t="s">
        <v>22</v>
      </c>
      <c r="M10" s="40"/>
    </row>
    <row r="11" spans="1:13">
      <c r="A11" s="27">
        <v>6540</v>
      </c>
      <c r="B11" s="45" t="s">
        <v>579</v>
      </c>
      <c r="C11" s="7">
        <v>350</v>
      </c>
      <c r="D11" s="7">
        <v>1.2</v>
      </c>
      <c r="E11" s="7">
        <f t="shared" si="0"/>
        <v>420</v>
      </c>
      <c r="F11" s="27" t="s">
        <v>22</v>
      </c>
      <c r="M11" s="40"/>
    </row>
    <row r="12" spans="1:13">
      <c r="A12" s="27">
        <v>6529</v>
      </c>
      <c r="B12" s="45" t="s">
        <v>580</v>
      </c>
      <c r="C12" s="7">
        <v>350</v>
      </c>
      <c r="D12" s="7">
        <v>1.2</v>
      </c>
      <c r="E12" s="7">
        <f t="shared" si="0"/>
        <v>420</v>
      </c>
      <c r="F12" s="27" t="s">
        <v>22</v>
      </c>
      <c r="M12" s="40"/>
    </row>
    <row r="13" spans="1:13">
      <c r="A13" s="27">
        <v>6534</v>
      </c>
      <c r="B13" s="45" t="s">
        <v>581</v>
      </c>
      <c r="C13" s="7">
        <v>350</v>
      </c>
      <c r="D13" s="7">
        <v>1.2</v>
      </c>
      <c r="E13" s="7">
        <f t="shared" si="0"/>
        <v>420</v>
      </c>
      <c r="F13" s="27" t="s">
        <v>22</v>
      </c>
      <c r="M13" s="40"/>
    </row>
    <row r="14" spans="1:13">
      <c r="A14" s="7">
        <v>6507</v>
      </c>
      <c r="B14" s="45" t="s">
        <v>582</v>
      </c>
      <c r="C14" s="7">
        <v>350</v>
      </c>
      <c r="D14" s="7">
        <v>1.2</v>
      </c>
      <c r="E14" s="7">
        <f t="shared" si="0"/>
        <v>420</v>
      </c>
      <c r="F14" s="27" t="s">
        <v>22</v>
      </c>
      <c r="M14" s="40"/>
    </row>
    <row r="15" spans="1:17">
      <c r="A15" s="7">
        <v>6509</v>
      </c>
      <c r="B15" s="45" t="s">
        <v>583</v>
      </c>
      <c r="C15" s="7">
        <v>350</v>
      </c>
      <c r="D15" s="7">
        <v>1.2</v>
      </c>
      <c r="E15" s="7">
        <f t="shared" si="0"/>
        <v>420</v>
      </c>
      <c r="F15" s="27" t="s">
        <v>22</v>
      </c>
      <c r="M15" s="40"/>
      <c r="Q15" s="46"/>
    </row>
    <row r="16" spans="1:13">
      <c r="A16" s="7">
        <v>6510</v>
      </c>
      <c r="B16" s="45" t="s">
        <v>584</v>
      </c>
      <c r="C16" s="7">
        <v>350</v>
      </c>
      <c r="D16" s="7">
        <v>1.2</v>
      </c>
      <c r="E16" s="7">
        <f t="shared" si="0"/>
        <v>420</v>
      </c>
      <c r="F16" s="27" t="s">
        <v>22</v>
      </c>
      <c r="M16" s="40"/>
    </row>
    <row r="17" spans="1:13">
      <c r="A17" s="7">
        <v>6508</v>
      </c>
      <c r="B17" s="45" t="s">
        <v>585</v>
      </c>
      <c r="C17" s="7">
        <v>350</v>
      </c>
      <c r="D17" s="7">
        <v>1.2</v>
      </c>
      <c r="E17" s="7">
        <f t="shared" si="0"/>
        <v>420</v>
      </c>
      <c r="F17" s="27" t="s">
        <v>22</v>
      </c>
      <c r="M17" s="40"/>
    </row>
    <row r="18" spans="1:13">
      <c r="A18" s="7">
        <v>6505</v>
      </c>
      <c r="B18" s="45" t="s">
        <v>586</v>
      </c>
      <c r="C18" s="7">
        <v>350</v>
      </c>
      <c r="D18" s="7">
        <v>1.2</v>
      </c>
      <c r="E18" s="7">
        <f t="shared" si="0"/>
        <v>420</v>
      </c>
      <c r="F18" s="27" t="s">
        <v>22</v>
      </c>
      <c r="M18" s="40"/>
    </row>
    <row r="19" spans="1:13">
      <c r="A19" s="7">
        <v>6506</v>
      </c>
      <c r="B19" s="45" t="s">
        <v>587</v>
      </c>
      <c r="C19" s="7">
        <v>350</v>
      </c>
      <c r="D19" s="7">
        <v>1.2</v>
      </c>
      <c r="E19" s="7">
        <f t="shared" si="0"/>
        <v>420</v>
      </c>
      <c r="F19" s="27" t="s">
        <v>22</v>
      </c>
      <c r="M19" s="40"/>
    </row>
    <row r="20" spans="1:13">
      <c r="A20" s="27">
        <v>6642</v>
      </c>
      <c r="B20" s="45" t="s">
        <v>588</v>
      </c>
      <c r="C20" s="7">
        <v>350</v>
      </c>
      <c r="D20" s="7">
        <v>1.2</v>
      </c>
      <c r="E20" s="7">
        <f t="shared" si="0"/>
        <v>420</v>
      </c>
      <c r="F20" s="27" t="s">
        <v>22</v>
      </c>
      <c r="M20" s="40"/>
    </row>
    <row r="21" spans="1:13">
      <c r="A21" s="7">
        <v>6616</v>
      </c>
      <c r="B21" s="45" t="s">
        <v>589</v>
      </c>
      <c r="C21" s="7">
        <v>350</v>
      </c>
      <c r="D21" s="7">
        <v>1.2</v>
      </c>
      <c r="E21" s="7">
        <f t="shared" si="0"/>
        <v>420</v>
      </c>
      <c r="F21" s="27" t="s">
        <v>22</v>
      </c>
      <c r="M21" s="40"/>
    </row>
    <row r="22" spans="1:13">
      <c r="A22" s="7">
        <v>6618</v>
      </c>
      <c r="B22" s="45" t="s">
        <v>590</v>
      </c>
      <c r="C22" s="7">
        <v>350</v>
      </c>
      <c r="D22" s="7">
        <v>1.2</v>
      </c>
      <c r="E22" s="7">
        <f t="shared" si="0"/>
        <v>420</v>
      </c>
      <c r="F22" s="27" t="s">
        <v>22</v>
      </c>
      <c r="M22" s="40"/>
    </row>
    <row r="23" spans="1:13">
      <c r="A23" s="7">
        <v>6729</v>
      </c>
      <c r="B23" s="45" t="s">
        <v>591</v>
      </c>
      <c r="C23" s="7">
        <v>350</v>
      </c>
      <c r="D23" s="7">
        <v>1.2</v>
      </c>
      <c r="E23" s="7">
        <f t="shared" si="0"/>
        <v>420</v>
      </c>
      <c r="F23" s="27" t="s">
        <v>22</v>
      </c>
      <c r="M23" s="40"/>
    </row>
    <row r="24" spans="1:13">
      <c r="A24" s="7">
        <v>6730</v>
      </c>
      <c r="B24" s="45" t="s">
        <v>204</v>
      </c>
      <c r="C24" s="7">
        <v>350</v>
      </c>
      <c r="D24" s="7">
        <v>1.2</v>
      </c>
      <c r="E24" s="7">
        <f t="shared" si="0"/>
        <v>420</v>
      </c>
      <c r="F24" s="27" t="s">
        <v>22</v>
      </c>
      <c r="M24" s="40"/>
    </row>
    <row r="25" spans="3:13">
      <c r="C25" s="8" t="s">
        <v>18</v>
      </c>
      <c r="D25" s="8"/>
      <c r="E25" s="8">
        <f>SUM(E5:E24)</f>
        <v>8400</v>
      </c>
      <c r="M25" s="40"/>
    </row>
    <row r="26" spans="13:13">
      <c r="M26" s="40"/>
    </row>
    <row r="27" spans="13:13">
      <c r="M27" s="40"/>
    </row>
    <row r="28" spans="13:13">
      <c r="M28" s="40"/>
    </row>
    <row r="29" spans="13:13">
      <c r="M29" s="12"/>
    </row>
  </sheetData>
  <mergeCells count="6">
    <mergeCell ref="A1:C1"/>
    <mergeCell ref="D1:F1"/>
    <mergeCell ref="A2:C2"/>
    <mergeCell ref="D2:F2"/>
    <mergeCell ref="A3:F3"/>
    <mergeCell ref="C25:D25"/>
  </mergeCells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4" sqref="A14"/>
    </sheetView>
  </sheetViews>
  <sheetFormatPr defaultColWidth="9" defaultRowHeight="14.25"/>
  <cols>
    <col min="5" max="5" width="12.4416666666667" customWidth="1"/>
    <col min="6" max="6" width="10.6666666666667" customWidth="1"/>
  </cols>
  <sheetData>
    <row r="1" spans="1:6">
      <c r="A1" s="1" t="s">
        <v>593</v>
      </c>
      <c r="B1" s="1"/>
      <c r="C1" s="1"/>
      <c r="D1" s="1" t="s">
        <v>572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6615</v>
      </c>
      <c r="B5" s="44" t="s">
        <v>555</v>
      </c>
      <c r="C5" s="7">
        <v>20</v>
      </c>
      <c r="D5" s="7">
        <v>1.2</v>
      </c>
      <c r="E5" s="7">
        <f>C5*D5</f>
        <v>24</v>
      </c>
      <c r="F5" s="27" t="s">
        <v>22</v>
      </c>
    </row>
    <row r="6" spans="1:6">
      <c r="A6" s="7">
        <v>6612</v>
      </c>
      <c r="B6" s="44" t="s">
        <v>554</v>
      </c>
      <c r="C6" s="7">
        <v>20</v>
      </c>
      <c r="D6" s="7">
        <v>1.2</v>
      </c>
      <c r="E6" s="7">
        <f>C6*D6</f>
        <v>24</v>
      </c>
      <c r="F6" s="27" t="s">
        <v>22</v>
      </c>
    </row>
    <row r="7" spans="1:13">
      <c r="A7" s="7">
        <v>6613</v>
      </c>
      <c r="B7" s="44" t="s">
        <v>556</v>
      </c>
      <c r="C7" s="27">
        <v>20</v>
      </c>
      <c r="D7" s="7">
        <v>1.2</v>
      </c>
      <c r="E7" s="7">
        <f t="shared" ref="E7:E16" si="0">C7*D7</f>
        <v>24</v>
      </c>
      <c r="F7" s="27" t="s">
        <v>22</v>
      </c>
      <c r="M7" s="41"/>
    </row>
    <row r="8" spans="1:13">
      <c r="A8" s="7">
        <v>6608</v>
      </c>
      <c r="B8" s="44" t="s">
        <v>550</v>
      </c>
      <c r="C8" s="27">
        <v>20</v>
      </c>
      <c r="D8" s="7">
        <v>1.2</v>
      </c>
      <c r="E8" s="7">
        <f t="shared" si="0"/>
        <v>24</v>
      </c>
      <c r="F8" s="27" t="s">
        <v>22</v>
      </c>
      <c r="M8" s="41"/>
    </row>
    <row r="9" spans="1:13">
      <c r="A9" s="27">
        <v>6607</v>
      </c>
      <c r="B9" s="44" t="s">
        <v>557</v>
      </c>
      <c r="C9" s="27">
        <v>20</v>
      </c>
      <c r="D9" s="7">
        <v>1.2</v>
      </c>
      <c r="E9" s="7">
        <f t="shared" si="0"/>
        <v>24</v>
      </c>
      <c r="F9" s="27" t="s">
        <v>22</v>
      </c>
      <c r="M9" s="41"/>
    </row>
    <row r="10" spans="1:13">
      <c r="A10" s="7">
        <v>6611</v>
      </c>
      <c r="B10" s="44" t="s">
        <v>553</v>
      </c>
      <c r="C10" s="27">
        <v>20</v>
      </c>
      <c r="D10" s="7">
        <v>1.2</v>
      </c>
      <c r="E10" s="7">
        <f t="shared" si="0"/>
        <v>24</v>
      </c>
      <c r="F10" s="27" t="s">
        <v>22</v>
      </c>
      <c r="M10" s="41"/>
    </row>
    <row r="11" spans="1:13">
      <c r="A11" s="27">
        <v>6606</v>
      </c>
      <c r="B11" s="44" t="s">
        <v>558</v>
      </c>
      <c r="C11" s="27">
        <v>90</v>
      </c>
      <c r="D11" s="7">
        <v>1.2</v>
      </c>
      <c r="E11" s="7">
        <f t="shared" si="0"/>
        <v>108</v>
      </c>
      <c r="F11" s="27" t="s">
        <v>22</v>
      </c>
      <c r="M11" s="41"/>
    </row>
    <row r="12" spans="1:13">
      <c r="A12" s="7">
        <v>6609</v>
      </c>
      <c r="B12" s="44" t="s">
        <v>551</v>
      </c>
      <c r="C12" s="27">
        <v>20</v>
      </c>
      <c r="D12" s="7">
        <v>1.2</v>
      </c>
      <c r="E12" s="7">
        <f t="shared" si="0"/>
        <v>24</v>
      </c>
      <c r="F12" s="27" t="s">
        <v>22</v>
      </c>
      <c r="M12" s="41"/>
    </row>
    <row r="13" spans="1:13">
      <c r="A13" s="7">
        <v>6610</v>
      </c>
      <c r="B13" s="44" t="s">
        <v>552</v>
      </c>
      <c r="C13" s="27">
        <v>20</v>
      </c>
      <c r="D13" s="7">
        <v>1.2</v>
      </c>
      <c r="E13" s="7">
        <f t="shared" si="0"/>
        <v>24</v>
      </c>
      <c r="F13" s="27" t="s">
        <v>22</v>
      </c>
      <c r="M13" s="41"/>
    </row>
    <row r="14" spans="1:13">
      <c r="A14" s="27">
        <v>6614</v>
      </c>
      <c r="B14" s="44" t="s">
        <v>559</v>
      </c>
      <c r="C14" s="27">
        <v>20</v>
      </c>
      <c r="D14" s="7">
        <v>1.2</v>
      </c>
      <c r="E14" s="7">
        <f t="shared" si="0"/>
        <v>24</v>
      </c>
      <c r="F14" s="27" t="s">
        <v>22</v>
      </c>
      <c r="M14" s="41"/>
    </row>
    <row r="15" spans="1:13">
      <c r="A15" s="7">
        <v>6617</v>
      </c>
      <c r="B15" s="44" t="s">
        <v>560</v>
      </c>
      <c r="C15" s="27">
        <v>20</v>
      </c>
      <c r="D15" s="7">
        <v>1.2</v>
      </c>
      <c r="E15" s="7">
        <f t="shared" si="0"/>
        <v>24</v>
      </c>
      <c r="F15" s="27" t="s">
        <v>22</v>
      </c>
      <c r="M15" s="41"/>
    </row>
    <row r="16" spans="1:13">
      <c r="A16" s="27">
        <v>6546</v>
      </c>
      <c r="B16" s="45" t="s">
        <v>543</v>
      </c>
      <c r="C16" s="7">
        <v>60</v>
      </c>
      <c r="D16" s="7">
        <v>1.2</v>
      </c>
      <c r="E16" s="7">
        <f t="shared" si="0"/>
        <v>72</v>
      </c>
      <c r="F16" s="27" t="s">
        <v>22</v>
      </c>
      <c r="M16" s="41"/>
    </row>
    <row r="17" spans="3:13">
      <c r="C17" s="8" t="s">
        <v>18</v>
      </c>
      <c r="D17" s="8"/>
      <c r="E17" s="8">
        <f>SUM(E5:E16)</f>
        <v>420</v>
      </c>
      <c r="M17" s="40"/>
    </row>
    <row r="18" spans="13:13">
      <c r="M18" s="40"/>
    </row>
    <row r="19" spans="13:13">
      <c r="M19" s="40"/>
    </row>
    <row r="20" spans="13:13">
      <c r="M20" s="40"/>
    </row>
    <row r="21" spans="13:13">
      <c r="M21" s="12"/>
    </row>
  </sheetData>
  <mergeCells count="6">
    <mergeCell ref="A1:C1"/>
    <mergeCell ref="D1:F1"/>
    <mergeCell ref="A2:C2"/>
    <mergeCell ref="D2:F2"/>
    <mergeCell ref="A3:F3"/>
    <mergeCell ref="C17:D17"/>
  </mergeCells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D18" sqref="D18"/>
    </sheetView>
  </sheetViews>
  <sheetFormatPr defaultColWidth="9" defaultRowHeight="14.25"/>
  <cols>
    <col min="5" max="5" width="12.4416666666667" customWidth="1"/>
    <col min="6" max="6" width="10.6666666666667" customWidth="1"/>
  </cols>
  <sheetData>
    <row r="1" spans="1:6">
      <c r="A1" s="1" t="s">
        <v>594</v>
      </c>
      <c r="B1" s="1"/>
      <c r="C1" s="1"/>
      <c r="D1" s="1" t="s">
        <v>595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6376</v>
      </c>
      <c r="B5" s="44" t="s">
        <v>148</v>
      </c>
      <c r="C5" s="7">
        <v>40</v>
      </c>
      <c r="D5" s="7">
        <v>1.2</v>
      </c>
      <c r="E5" s="7">
        <f>C5*D5</f>
        <v>48</v>
      </c>
      <c r="F5" s="27" t="s">
        <v>22</v>
      </c>
    </row>
    <row r="6" spans="3:13">
      <c r="C6" s="8" t="s">
        <v>18</v>
      </c>
      <c r="D6" s="8"/>
      <c r="E6" s="8">
        <f>SUM(E5:E5)</f>
        <v>48</v>
      </c>
      <c r="M6" s="40"/>
    </row>
    <row r="7" spans="13:13">
      <c r="M7" s="40"/>
    </row>
    <row r="8" spans="13:13">
      <c r="M8" s="40"/>
    </row>
    <row r="9" spans="13:13">
      <c r="M9" s="40"/>
    </row>
    <row r="10" spans="13:13">
      <c r="M1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I6" sqref="I6"/>
    </sheetView>
  </sheetViews>
  <sheetFormatPr defaultColWidth="9" defaultRowHeight="14.25"/>
  <cols>
    <col min="5" max="5" width="12.4416666666667" customWidth="1"/>
    <col min="6" max="6" width="10.6666666666667" customWidth="1"/>
  </cols>
  <sheetData>
    <row r="1" spans="1:6">
      <c r="A1" s="1" t="s">
        <v>596</v>
      </c>
      <c r="B1" s="1"/>
      <c r="C1" s="1"/>
      <c r="D1" s="1" t="s">
        <v>595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6530</v>
      </c>
      <c r="B5" s="44" t="s">
        <v>597</v>
      </c>
      <c r="C5" s="7">
        <v>40</v>
      </c>
      <c r="D5" s="7">
        <v>1.2</v>
      </c>
      <c r="E5" s="7">
        <f>C5*D5</f>
        <v>48</v>
      </c>
      <c r="F5" s="27" t="s">
        <v>22</v>
      </c>
    </row>
    <row r="6" spans="3:13">
      <c r="C6" s="8" t="s">
        <v>18</v>
      </c>
      <c r="D6" s="8"/>
      <c r="E6" s="8">
        <f>SUM(E5:E5)</f>
        <v>48</v>
      </c>
      <c r="M6" s="40"/>
    </row>
    <row r="7" spans="13:13">
      <c r="M7" s="40"/>
    </row>
    <row r="8" spans="13:13">
      <c r="M8" s="40"/>
    </row>
    <row r="9" spans="13:13">
      <c r="M9" s="40"/>
    </row>
    <row r="10" spans="13:13">
      <c r="M1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C18" sqref="C18"/>
    </sheetView>
  </sheetViews>
  <sheetFormatPr defaultColWidth="9" defaultRowHeight="14.25"/>
  <cols>
    <col min="5" max="5" width="12.4416666666667" customWidth="1"/>
    <col min="6" max="6" width="10.6666666666667" customWidth="1"/>
  </cols>
  <sheetData>
    <row r="1" spans="1:6">
      <c r="A1" s="1" t="s">
        <v>598</v>
      </c>
      <c r="B1" s="1"/>
      <c r="C1" s="1"/>
      <c r="D1" s="1" t="s">
        <v>599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6510</v>
      </c>
      <c r="B5" s="27" t="s">
        <v>600</v>
      </c>
      <c r="C5" s="7">
        <v>40</v>
      </c>
      <c r="D5" s="7">
        <v>1.2</v>
      </c>
      <c r="E5" s="7">
        <f>C5*D5</f>
        <v>48</v>
      </c>
      <c r="F5" s="27" t="s">
        <v>22</v>
      </c>
    </row>
    <row r="6" spans="1:13">
      <c r="A6" s="27">
        <v>6507</v>
      </c>
      <c r="B6" s="27" t="s">
        <v>601</v>
      </c>
      <c r="C6" s="7">
        <v>40</v>
      </c>
      <c r="D6" s="7">
        <v>1.2</v>
      </c>
      <c r="E6" s="7">
        <f>C6*D6</f>
        <v>48</v>
      </c>
      <c r="F6" s="27" t="s">
        <v>22</v>
      </c>
      <c r="M6" s="41"/>
    </row>
    <row r="7" spans="1:13">
      <c r="A7" s="27">
        <v>6508</v>
      </c>
      <c r="B7" s="27" t="s">
        <v>602</v>
      </c>
      <c r="C7" s="7">
        <v>40</v>
      </c>
      <c r="D7" s="7">
        <v>1.2</v>
      </c>
      <c r="E7" s="7">
        <f>C7*D7</f>
        <v>48</v>
      </c>
      <c r="F7" s="27" t="s">
        <v>22</v>
      </c>
      <c r="M7" s="41"/>
    </row>
    <row r="8" spans="1:13">
      <c r="A8" s="27">
        <v>6509</v>
      </c>
      <c r="B8" s="27" t="s">
        <v>603</v>
      </c>
      <c r="C8" s="7">
        <v>40</v>
      </c>
      <c r="D8" s="7">
        <v>1.2</v>
      </c>
      <c r="E8" s="7">
        <f>C8*D8</f>
        <v>48</v>
      </c>
      <c r="F8" s="27" t="s">
        <v>22</v>
      </c>
      <c r="M8" s="41"/>
    </row>
    <row r="9" spans="3:13">
      <c r="C9" s="8" t="s">
        <v>18</v>
      </c>
      <c r="D9" s="8"/>
      <c r="E9" s="8">
        <f>SUM(E5:E8)</f>
        <v>192</v>
      </c>
      <c r="M9" s="40"/>
    </row>
    <row r="10" spans="13:13">
      <c r="M10" s="40"/>
    </row>
    <row r="11" spans="13:13">
      <c r="M11" s="40"/>
    </row>
    <row r="12" spans="13:13">
      <c r="M12" s="40"/>
    </row>
    <row r="13" spans="13:13">
      <c r="M13" s="12"/>
    </row>
  </sheetData>
  <mergeCells count="6">
    <mergeCell ref="A1:C1"/>
    <mergeCell ref="D1:F1"/>
    <mergeCell ref="A2:C2"/>
    <mergeCell ref="D2:F2"/>
    <mergeCell ref="A3:F3"/>
    <mergeCell ref="C9:D9"/>
  </mergeCells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K30" sqref="K30"/>
    </sheetView>
  </sheetViews>
  <sheetFormatPr defaultColWidth="9" defaultRowHeight="14.25"/>
  <cols>
    <col min="5" max="5" width="12.4416666666667" customWidth="1"/>
    <col min="6" max="6" width="10.6666666666667" customWidth="1"/>
  </cols>
  <sheetData>
    <row r="1" spans="1:6">
      <c r="A1" s="1" t="s">
        <v>604</v>
      </c>
      <c r="B1" s="1"/>
      <c r="C1" s="1"/>
      <c r="D1" s="1" t="s">
        <v>599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6415</v>
      </c>
      <c r="B5" s="27" t="s">
        <v>605</v>
      </c>
      <c r="C5" s="7">
        <v>40</v>
      </c>
      <c r="D5" s="7">
        <v>1.2</v>
      </c>
      <c r="E5" s="7">
        <f>C5*D5</f>
        <v>48</v>
      </c>
      <c r="F5" s="27" t="s">
        <v>22</v>
      </c>
    </row>
    <row r="6" spans="3:13">
      <c r="C6" s="8" t="s">
        <v>18</v>
      </c>
      <c r="D6" s="8"/>
      <c r="E6" s="8">
        <f>SUM(E5:E5)</f>
        <v>48</v>
      </c>
      <c r="M6" s="40"/>
    </row>
    <row r="7" spans="13:13">
      <c r="M7" s="40"/>
    </row>
    <row r="8" spans="13:13">
      <c r="M8" s="40"/>
    </row>
    <row r="9" spans="13:13">
      <c r="M9" s="40"/>
    </row>
    <row r="10" spans="13:13">
      <c r="M1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H17" sqref="H17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606</v>
      </c>
      <c r="B1" s="1"/>
      <c r="C1" s="1"/>
      <c r="D1" s="1" t="s">
        <v>607</v>
      </c>
      <c r="E1" s="1"/>
      <c r="F1" s="1"/>
    </row>
    <row r="2" spans="1:6">
      <c r="A2" s="2" t="s">
        <v>76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6415</v>
      </c>
      <c r="B5" s="27" t="s">
        <v>605</v>
      </c>
      <c r="C5" s="7">
        <v>50</v>
      </c>
      <c r="D5" s="7">
        <v>1.2</v>
      </c>
      <c r="E5" s="7">
        <f>C5*D5</f>
        <v>60</v>
      </c>
      <c r="F5" s="27" t="s">
        <v>570</v>
      </c>
    </row>
    <row r="6" spans="1:13">
      <c r="A6" s="13"/>
      <c r="B6" s="39"/>
      <c r="C6" s="7" t="s">
        <v>18</v>
      </c>
      <c r="D6" s="7"/>
      <c r="E6" s="8">
        <f>SUM(E5:E5)</f>
        <v>60</v>
      </c>
      <c r="M6" s="40"/>
    </row>
    <row r="7" spans="13:13">
      <c r="M7" s="40"/>
    </row>
    <row r="8" spans="13:13">
      <c r="M8" s="40"/>
    </row>
    <row r="9" spans="13:13">
      <c r="M9" s="40"/>
    </row>
    <row r="10" spans="13:13">
      <c r="M1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F21" sqref="F21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608</v>
      </c>
      <c r="B1" s="1"/>
      <c r="C1" s="1"/>
      <c r="D1" s="1" t="s">
        <v>607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6415</v>
      </c>
      <c r="B5" s="27" t="s">
        <v>605</v>
      </c>
      <c r="C5" s="7">
        <v>350</v>
      </c>
      <c r="D5" s="7">
        <v>1.2</v>
      </c>
      <c r="E5" s="7">
        <f>C5*D5</f>
        <v>420</v>
      </c>
      <c r="F5" s="27" t="s">
        <v>570</v>
      </c>
    </row>
    <row r="6" spans="1:13">
      <c r="A6" s="13"/>
      <c r="B6" s="39"/>
      <c r="C6" s="7" t="s">
        <v>18</v>
      </c>
      <c r="D6" s="7"/>
      <c r="E6" s="8">
        <f>SUM(E5:E5)</f>
        <v>420</v>
      </c>
      <c r="M6" s="41"/>
    </row>
    <row r="7" spans="1:13">
      <c r="A7" s="13"/>
      <c r="B7" s="39"/>
      <c r="C7" s="13"/>
      <c r="D7" s="13"/>
      <c r="E7" s="13"/>
      <c r="F7" s="39"/>
      <c r="M7" s="41"/>
    </row>
    <row r="8" spans="1:13">
      <c r="A8" s="13"/>
      <c r="B8" s="39"/>
      <c r="C8" s="13"/>
      <c r="D8" s="13"/>
      <c r="E8" s="13"/>
      <c r="F8" s="39"/>
      <c r="M8" s="41"/>
    </row>
    <row r="9" spans="1:13">
      <c r="A9" s="13"/>
      <c r="B9" s="39"/>
      <c r="C9" s="13"/>
      <c r="D9" s="13"/>
      <c r="E9" s="13"/>
      <c r="F9" s="39"/>
      <c r="M9" s="41"/>
    </row>
    <row r="10" spans="1:13">
      <c r="A10" s="13"/>
      <c r="B10" s="39"/>
      <c r="C10" s="13"/>
      <c r="D10" s="13"/>
      <c r="E10" s="13"/>
      <c r="F10" s="39"/>
      <c r="M10" s="41"/>
    </row>
    <row r="11" spans="1:13">
      <c r="A11" s="13"/>
      <c r="B11" s="39"/>
      <c r="C11" s="13"/>
      <c r="D11" s="13"/>
      <c r="E11" s="13"/>
      <c r="F11" s="39"/>
      <c r="M11" s="41"/>
    </row>
    <row r="12" spans="1:13">
      <c r="A12" s="13"/>
      <c r="B12" s="39"/>
      <c r="C12" s="13"/>
      <c r="D12" s="13"/>
      <c r="E12" s="13"/>
      <c r="F12" s="39"/>
      <c r="M12" s="41"/>
    </row>
    <row r="13" spans="1:13">
      <c r="A13" s="13"/>
      <c r="B13" s="39"/>
      <c r="C13" s="13"/>
      <c r="D13" s="13"/>
      <c r="E13" s="13"/>
      <c r="F13" s="39"/>
      <c r="M13" s="41"/>
    </row>
    <row r="14" spans="1:13">
      <c r="A14" s="13"/>
      <c r="B14" s="39"/>
      <c r="C14" s="13"/>
      <c r="D14" s="13"/>
      <c r="E14" s="13"/>
      <c r="F14" s="39"/>
      <c r="M14" s="41"/>
    </row>
    <row r="15" spans="1:13">
      <c r="A15" s="39"/>
      <c r="B15" s="39"/>
      <c r="C15" s="13"/>
      <c r="D15" s="13"/>
      <c r="E15" s="13"/>
      <c r="F15" s="39"/>
      <c r="M15" s="41"/>
    </row>
    <row r="16" spans="1:13">
      <c r="A16" s="13"/>
      <c r="B16" s="39"/>
      <c r="C16" s="13"/>
      <c r="D16" s="13"/>
      <c r="E16" s="13"/>
      <c r="F16" s="39"/>
      <c r="M16" s="41"/>
    </row>
    <row r="17" spans="1:13">
      <c r="A17" s="13"/>
      <c r="B17" s="39"/>
      <c r="C17" s="13"/>
      <c r="D17" s="13"/>
      <c r="E17" s="13"/>
      <c r="F17" s="39"/>
      <c r="M17" s="41"/>
    </row>
    <row r="18" spans="1:13">
      <c r="A18" s="13"/>
      <c r="B18" s="39"/>
      <c r="C18" s="13"/>
      <c r="D18" s="13"/>
      <c r="E18" s="13"/>
      <c r="F18" s="39"/>
      <c r="M18" s="41"/>
    </row>
    <row r="19" spans="1:13">
      <c r="A19" s="13"/>
      <c r="B19" s="39"/>
      <c r="C19" s="13"/>
      <c r="D19" s="13"/>
      <c r="E19" s="13"/>
      <c r="F19" s="39"/>
      <c r="M19" s="41"/>
    </row>
    <row r="20" spans="1:13">
      <c r="A20" s="13"/>
      <c r="B20" s="39"/>
      <c r="C20" s="13"/>
      <c r="D20" s="13"/>
      <c r="E20" s="13"/>
      <c r="F20" s="39"/>
      <c r="M20" s="41"/>
    </row>
    <row r="21" spans="1:13">
      <c r="A21" s="39"/>
      <c r="B21" s="39"/>
      <c r="C21" s="13"/>
      <c r="D21" s="13"/>
      <c r="E21" s="13"/>
      <c r="F21" s="39"/>
      <c r="M21" s="41"/>
    </row>
    <row r="22" spans="1:13">
      <c r="A22" s="39"/>
      <c r="B22" s="39"/>
      <c r="C22" s="13"/>
      <c r="D22" s="13"/>
      <c r="E22" s="13"/>
      <c r="F22" s="39"/>
      <c r="M22" s="41"/>
    </row>
    <row r="23" spans="1:13">
      <c r="A23" s="39"/>
      <c r="B23" s="39"/>
      <c r="C23" s="13"/>
      <c r="D23" s="13"/>
      <c r="E23" s="13"/>
      <c r="F23" s="39"/>
      <c r="M23" s="41"/>
    </row>
    <row r="24" spans="1:13">
      <c r="A24" s="13"/>
      <c r="B24" s="39"/>
      <c r="C24" s="13"/>
      <c r="D24" s="13"/>
      <c r="E24" s="13"/>
      <c r="F24" s="39"/>
      <c r="M24" s="41"/>
    </row>
    <row r="25" spans="1:13">
      <c r="A25" s="13"/>
      <c r="B25" s="39"/>
      <c r="C25" s="13"/>
      <c r="D25" s="13"/>
      <c r="E25" s="13"/>
      <c r="F25" s="39"/>
      <c r="M25" s="41"/>
    </row>
    <row r="26" spans="1:13">
      <c r="A26" s="39"/>
      <c r="B26" s="39"/>
      <c r="C26" s="13"/>
      <c r="D26" s="13"/>
      <c r="E26" s="13"/>
      <c r="F26" s="39"/>
      <c r="M26" s="41"/>
    </row>
    <row r="27" spans="1:13">
      <c r="A27" s="13"/>
      <c r="B27" s="39"/>
      <c r="C27" s="13"/>
      <c r="D27" s="13"/>
      <c r="E27" s="13"/>
      <c r="F27" s="39"/>
      <c r="M27" s="41"/>
    </row>
    <row r="28" spans="1:13">
      <c r="A28" s="13"/>
      <c r="B28" s="39"/>
      <c r="C28" s="13"/>
      <c r="D28" s="13"/>
      <c r="E28" s="13"/>
      <c r="F28" s="39"/>
      <c r="M28" s="41"/>
    </row>
    <row r="29" spans="1:13">
      <c r="A29" s="13"/>
      <c r="B29" s="43"/>
      <c r="C29" s="13"/>
      <c r="D29" s="13"/>
      <c r="E29" s="13"/>
      <c r="F29" s="39"/>
      <c r="M29" s="41"/>
    </row>
    <row r="30" spans="1:13">
      <c r="A30" s="13"/>
      <c r="B30" s="39"/>
      <c r="C30" s="13"/>
      <c r="D30" s="13"/>
      <c r="E30" s="13"/>
      <c r="F30" s="39"/>
      <c r="M30" s="41"/>
    </row>
    <row r="31" spans="1:13">
      <c r="A31" s="13"/>
      <c r="B31" s="39"/>
      <c r="C31" s="13"/>
      <c r="D31" s="13"/>
      <c r="E31" s="13"/>
      <c r="F31" s="39"/>
      <c r="M31" s="41"/>
    </row>
    <row r="32" spans="1:13">
      <c r="A32" s="13"/>
      <c r="B32" s="39"/>
      <c r="C32" s="13"/>
      <c r="D32" s="13"/>
      <c r="E32" s="13"/>
      <c r="F32" s="39"/>
      <c r="M32" s="41"/>
    </row>
    <row r="33" spans="1:13">
      <c r="A33" s="13"/>
      <c r="B33" s="39"/>
      <c r="C33" s="13"/>
      <c r="D33" s="13"/>
      <c r="E33" s="13"/>
      <c r="F33" s="39"/>
      <c r="M33" s="41"/>
    </row>
    <row r="34" spans="1:13">
      <c r="A34" s="13"/>
      <c r="B34" s="39"/>
      <c r="C34" s="13"/>
      <c r="D34" s="13"/>
      <c r="E34" s="13"/>
      <c r="F34" s="12"/>
      <c r="M34" s="40"/>
    </row>
    <row r="35" spans="1:13">
      <c r="A35" s="12"/>
      <c r="B35" s="12"/>
      <c r="C35" s="12"/>
      <c r="D35" s="12"/>
      <c r="E35" s="12"/>
      <c r="F35" s="12"/>
      <c r="M35" s="40"/>
    </row>
    <row r="36" spans="13:13">
      <c r="M36" s="40"/>
    </row>
    <row r="37" spans="13:13">
      <c r="M37" s="40"/>
    </row>
    <row r="38" spans="13:13">
      <c r="M38" s="12"/>
    </row>
  </sheetData>
  <mergeCells count="7">
    <mergeCell ref="A1:C1"/>
    <mergeCell ref="D1:F1"/>
    <mergeCell ref="A2:C2"/>
    <mergeCell ref="D2:F2"/>
    <mergeCell ref="A3:F3"/>
    <mergeCell ref="C6:D6"/>
    <mergeCell ref="C34:D34"/>
  </mergeCells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J22" sqref="J22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609</v>
      </c>
      <c r="B1" s="1"/>
      <c r="C1" s="1"/>
      <c r="D1" s="1" t="s">
        <v>607</v>
      </c>
      <c r="E1" s="1"/>
      <c r="F1" s="1"/>
    </row>
    <row r="2" spans="1:6">
      <c r="A2" s="2" t="s">
        <v>76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1">
        <v>6436</v>
      </c>
      <c r="B5" s="27" t="s">
        <v>610</v>
      </c>
      <c r="C5" s="7">
        <v>50</v>
      </c>
      <c r="D5" s="7">
        <v>1.2</v>
      </c>
      <c r="E5" s="7">
        <f t="shared" ref="E5:E33" si="0">C5*D5</f>
        <v>60</v>
      </c>
      <c r="F5" s="27" t="s">
        <v>611</v>
      </c>
    </row>
    <row r="6" spans="1:13">
      <c r="A6" s="16">
        <v>6744</v>
      </c>
      <c r="B6" s="27" t="s">
        <v>612</v>
      </c>
      <c r="C6" s="7">
        <v>50</v>
      </c>
      <c r="D6" s="7">
        <v>1.2</v>
      </c>
      <c r="E6" s="7">
        <f t="shared" si="0"/>
        <v>60</v>
      </c>
      <c r="F6" s="27" t="s">
        <v>611</v>
      </c>
      <c r="M6" s="41"/>
    </row>
    <row r="7" spans="1:13">
      <c r="A7" s="16">
        <v>6741</v>
      </c>
      <c r="B7" s="27" t="s">
        <v>613</v>
      </c>
      <c r="C7" s="7">
        <v>50</v>
      </c>
      <c r="D7" s="7">
        <v>1.2</v>
      </c>
      <c r="E7" s="7">
        <f t="shared" si="0"/>
        <v>60</v>
      </c>
      <c r="F7" s="27" t="s">
        <v>611</v>
      </c>
      <c r="M7" s="41"/>
    </row>
    <row r="8" spans="1:13">
      <c r="A8" s="16">
        <v>6753</v>
      </c>
      <c r="B8" s="27" t="s">
        <v>614</v>
      </c>
      <c r="C8" s="7">
        <v>50</v>
      </c>
      <c r="D8" s="7">
        <v>1.2</v>
      </c>
      <c r="E8" s="7">
        <f t="shared" si="0"/>
        <v>60</v>
      </c>
      <c r="F8" s="27" t="s">
        <v>611</v>
      </c>
      <c r="M8" s="41"/>
    </row>
    <row r="9" spans="1:13">
      <c r="A9" s="16">
        <v>6745</v>
      </c>
      <c r="B9" s="27" t="s">
        <v>615</v>
      </c>
      <c r="C9" s="7">
        <v>50</v>
      </c>
      <c r="D9" s="7">
        <v>1.2</v>
      </c>
      <c r="E9" s="7">
        <f t="shared" si="0"/>
        <v>60</v>
      </c>
      <c r="F9" s="27" t="s">
        <v>611</v>
      </c>
      <c r="M9" s="41"/>
    </row>
    <row r="10" spans="1:13">
      <c r="A10" s="16">
        <v>6759</v>
      </c>
      <c r="B10" s="27" t="s">
        <v>616</v>
      </c>
      <c r="C10" s="7">
        <v>50</v>
      </c>
      <c r="D10" s="7">
        <v>1.2</v>
      </c>
      <c r="E10" s="7">
        <f t="shared" si="0"/>
        <v>60</v>
      </c>
      <c r="F10" s="27" t="s">
        <v>611</v>
      </c>
      <c r="M10" s="41"/>
    </row>
    <row r="11" spans="1:13">
      <c r="A11" s="16">
        <v>6757</v>
      </c>
      <c r="B11" s="27" t="s">
        <v>617</v>
      </c>
      <c r="C11" s="7">
        <v>50</v>
      </c>
      <c r="D11" s="7">
        <v>1.2</v>
      </c>
      <c r="E11" s="7">
        <f t="shared" si="0"/>
        <v>60</v>
      </c>
      <c r="F11" s="27" t="s">
        <v>611</v>
      </c>
      <c r="M11" s="41"/>
    </row>
    <row r="12" spans="1:13">
      <c r="A12" s="7">
        <v>6772</v>
      </c>
      <c r="B12" s="27" t="s">
        <v>618</v>
      </c>
      <c r="C12" s="7">
        <v>50</v>
      </c>
      <c r="D12" s="7">
        <v>1.2</v>
      </c>
      <c r="E12" s="7">
        <f t="shared" si="0"/>
        <v>60</v>
      </c>
      <c r="F12" s="27" t="s">
        <v>570</v>
      </c>
      <c r="M12" s="41"/>
    </row>
    <row r="13" spans="1:13">
      <c r="A13" s="7">
        <v>6773</v>
      </c>
      <c r="B13" s="27" t="s">
        <v>619</v>
      </c>
      <c r="C13" s="7">
        <v>50</v>
      </c>
      <c r="D13" s="7">
        <v>1.2</v>
      </c>
      <c r="E13" s="7">
        <f t="shared" si="0"/>
        <v>60</v>
      </c>
      <c r="F13" s="27" t="s">
        <v>570</v>
      </c>
      <c r="M13" s="41"/>
    </row>
    <row r="14" spans="1:13">
      <c r="A14" s="7">
        <v>6774</v>
      </c>
      <c r="B14" s="27" t="s">
        <v>211</v>
      </c>
      <c r="C14" s="7">
        <v>50</v>
      </c>
      <c r="D14" s="7">
        <v>1.2</v>
      </c>
      <c r="E14" s="7">
        <f t="shared" si="0"/>
        <v>60</v>
      </c>
      <c r="F14" s="27" t="s">
        <v>570</v>
      </c>
      <c r="M14" s="41"/>
    </row>
    <row r="15" spans="1:13">
      <c r="A15" s="27">
        <v>6544</v>
      </c>
      <c r="B15" s="27" t="s">
        <v>620</v>
      </c>
      <c r="C15" s="7">
        <v>50</v>
      </c>
      <c r="D15" s="7">
        <v>1.2</v>
      </c>
      <c r="E15" s="7">
        <f t="shared" si="0"/>
        <v>60</v>
      </c>
      <c r="F15" s="27" t="s">
        <v>570</v>
      </c>
      <c r="M15" s="41"/>
    </row>
    <row r="16" spans="1:13">
      <c r="A16" s="7">
        <v>6682</v>
      </c>
      <c r="B16" s="27" t="s">
        <v>177</v>
      </c>
      <c r="C16" s="7">
        <v>50</v>
      </c>
      <c r="D16" s="7">
        <v>1.2</v>
      </c>
      <c r="E16" s="7">
        <f t="shared" si="0"/>
        <v>60</v>
      </c>
      <c r="F16" s="27" t="s">
        <v>570</v>
      </c>
      <c r="M16" s="41"/>
    </row>
    <row r="17" spans="1:13">
      <c r="A17" s="7">
        <v>6681</v>
      </c>
      <c r="B17" s="27" t="s">
        <v>178</v>
      </c>
      <c r="C17" s="7">
        <v>50</v>
      </c>
      <c r="D17" s="7">
        <v>1.2</v>
      </c>
      <c r="E17" s="7">
        <f t="shared" si="0"/>
        <v>60</v>
      </c>
      <c r="F17" s="27" t="s">
        <v>570</v>
      </c>
      <c r="M17" s="41"/>
    </row>
    <row r="18" spans="1:13">
      <c r="A18" s="7">
        <v>6680</v>
      </c>
      <c r="B18" s="27" t="s">
        <v>209</v>
      </c>
      <c r="C18" s="7">
        <v>50</v>
      </c>
      <c r="D18" s="7">
        <v>1.2</v>
      </c>
      <c r="E18" s="7">
        <f t="shared" si="0"/>
        <v>60</v>
      </c>
      <c r="F18" s="27" t="s">
        <v>570</v>
      </c>
      <c r="M18" s="41"/>
    </row>
    <row r="19" spans="1:13">
      <c r="A19" s="7">
        <v>6511</v>
      </c>
      <c r="B19" s="27" t="s">
        <v>621</v>
      </c>
      <c r="C19" s="7">
        <v>50</v>
      </c>
      <c r="D19" s="7">
        <v>1.2</v>
      </c>
      <c r="E19" s="7">
        <f t="shared" si="0"/>
        <v>60</v>
      </c>
      <c r="F19" s="27" t="s">
        <v>570</v>
      </c>
      <c r="M19" s="41"/>
    </row>
    <row r="20" spans="1:13">
      <c r="A20" s="7">
        <v>6679</v>
      </c>
      <c r="B20" s="27" t="s">
        <v>175</v>
      </c>
      <c r="C20" s="7">
        <v>50</v>
      </c>
      <c r="D20" s="7">
        <v>1.2</v>
      </c>
      <c r="E20" s="7">
        <f t="shared" si="0"/>
        <v>60</v>
      </c>
      <c r="F20" s="27" t="s">
        <v>570</v>
      </c>
      <c r="M20" s="41"/>
    </row>
    <row r="21" spans="1:13">
      <c r="A21" s="27">
        <v>6421</v>
      </c>
      <c r="B21" s="27" t="s">
        <v>622</v>
      </c>
      <c r="C21" s="7">
        <v>50</v>
      </c>
      <c r="D21" s="7">
        <v>1.2</v>
      </c>
      <c r="E21" s="7">
        <f t="shared" si="0"/>
        <v>60</v>
      </c>
      <c r="F21" s="27" t="s">
        <v>611</v>
      </c>
      <c r="M21" s="41"/>
    </row>
    <row r="22" spans="1:13">
      <c r="A22" s="27">
        <v>6420</v>
      </c>
      <c r="B22" s="27" t="s">
        <v>623</v>
      </c>
      <c r="C22" s="7">
        <v>50</v>
      </c>
      <c r="D22" s="7">
        <v>1.2</v>
      </c>
      <c r="E22" s="7">
        <f t="shared" si="0"/>
        <v>60</v>
      </c>
      <c r="F22" s="27" t="s">
        <v>611</v>
      </c>
      <c r="M22" s="41"/>
    </row>
    <row r="23" spans="1:13">
      <c r="A23" s="27">
        <v>6442</v>
      </c>
      <c r="B23" s="27" t="s">
        <v>624</v>
      </c>
      <c r="C23" s="7">
        <v>50</v>
      </c>
      <c r="D23" s="7">
        <v>1.2</v>
      </c>
      <c r="E23" s="7">
        <f t="shared" si="0"/>
        <v>60</v>
      </c>
      <c r="F23" s="27" t="s">
        <v>611</v>
      </c>
      <c r="M23" s="41"/>
    </row>
    <row r="24" spans="1:13">
      <c r="A24" s="16">
        <v>6742</v>
      </c>
      <c r="B24" s="27" t="s">
        <v>625</v>
      </c>
      <c r="C24" s="7">
        <v>50</v>
      </c>
      <c r="D24" s="7">
        <v>1.2</v>
      </c>
      <c r="E24" s="7">
        <f t="shared" si="0"/>
        <v>60</v>
      </c>
      <c r="F24" s="27" t="s">
        <v>611</v>
      </c>
      <c r="M24" s="41"/>
    </row>
    <row r="25" spans="1:13">
      <c r="A25" s="16">
        <v>6740</v>
      </c>
      <c r="B25" s="27" t="s">
        <v>626</v>
      </c>
      <c r="C25" s="7">
        <v>50</v>
      </c>
      <c r="D25" s="7">
        <v>1.2</v>
      </c>
      <c r="E25" s="7">
        <f t="shared" si="0"/>
        <v>60</v>
      </c>
      <c r="F25" s="27" t="s">
        <v>611</v>
      </c>
      <c r="M25" s="41"/>
    </row>
    <row r="26" spans="1:13">
      <c r="A26" s="27">
        <v>6422</v>
      </c>
      <c r="B26" s="27" t="s">
        <v>627</v>
      </c>
      <c r="C26" s="7">
        <v>50</v>
      </c>
      <c r="D26" s="7">
        <v>1.2</v>
      </c>
      <c r="E26" s="7">
        <f t="shared" si="0"/>
        <v>60</v>
      </c>
      <c r="F26" s="27" t="s">
        <v>611</v>
      </c>
      <c r="M26" s="41"/>
    </row>
    <row r="27" spans="1:13">
      <c r="A27" s="16">
        <v>6746</v>
      </c>
      <c r="B27" s="27" t="s">
        <v>628</v>
      </c>
      <c r="C27" s="7">
        <v>50</v>
      </c>
      <c r="D27" s="7">
        <v>1.2</v>
      </c>
      <c r="E27" s="7">
        <f t="shared" si="0"/>
        <v>60</v>
      </c>
      <c r="F27" s="27" t="s">
        <v>611</v>
      </c>
      <c r="M27" s="41"/>
    </row>
    <row r="28" spans="1:13">
      <c r="A28" s="16">
        <v>6752</v>
      </c>
      <c r="B28" s="27" t="s">
        <v>629</v>
      </c>
      <c r="C28" s="7">
        <v>50</v>
      </c>
      <c r="D28" s="7">
        <v>1.2</v>
      </c>
      <c r="E28" s="7">
        <f t="shared" si="0"/>
        <v>60</v>
      </c>
      <c r="F28" s="27" t="s">
        <v>611</v>
      </c>
      <c r="M28" s="41"/>
    </row>
    <row r="29" spans="1:13">
      <c r="A29" s="16">
        <v>6747</v>
      </c>
      <c r="B29" s="37" t="s">
        <v>630</v>
      </c>
      <c r="C29" s="7">
        <v>50</v>
      </c>
      <c r="D29" s="7">
        <v>1.2</v>
      </c>
      <c r="E29" s="7">
        <f t="shared" si="0"/>
        <v>60</v>
      </c>
      <c r="F29" s="27" t="s">
        <v>611</v>
      </c>
      <c r="M29" s="41"/>
    </row>
    <row r="30" spans="1:13">
      <c r="A30" s="16">
        <v>6748</v>
      </c>
      <c r="B30" s="27" t="s">
        <v>631</v>
      </c>
      <c r="C30" s="7">
        <v>50</v>
      </c>
      <c r="D30" s="7">
        <v>1.2</v>
      </c>
      <c r="E30" s="7">
        <f t="shared" si="0"/>
        <v>60</v>
      </c>
      <c r="F30" s="27" t="s">
        <v>611</v>
      </c>
      <c r="M30" s="41"/>
    </row>
    <row r="31" spans="1:13">
      <c r="A31" s="16">
        <v>6749</v>
      </c>
      <c r="B31" s="27" t="s">
        <v>632</v>
      </c>
      <c r="C31" s="7">
        <v>50</v>
      </c>
      <c r="D31" s="7">
        <v>1.2</v>
      </c>
      <c r="E31" s="7">
        <f t="shared" si="0"/>
        <v>60</v>
      </c>
      <c r="F31" s="27" t="s">
        <v>611</v>
      </c>
      <c r="M31" s="41"/>
    </row>
    <row r="32" spans="1:13">
      <c r="A32" s="27">
        <v>6423</v>
      </c>
      <c r="B32" s="27" t="s">
        <v>633</v>
      </c>
      <c r="C32" s="7">
        <v>50</v>
      </c>
      <c r="D32" s="7">
        <v>1.2</v>
      </c>
      <c r="E32" s="7">
        <f t="shared" si="0"/>
        <v>60</v>
      </c>
      <c r="F32" s="27" t="s">
        <v>611</v>
      </c>
      <c r="M32" s="41"/>
    </row>
    <row r="33" spans="1:13">
      <c r="A33" s="7">
        <v>6620</v>
      </c>
      <c r="B33" s="27" t="s">
        <v>634</v>
      </c>
      <c r="C33" s="7">
        <v>50</v>
      </c>
      <c r="D33" s="7">
        <v>1.2</v>
      </c>
      <c r="E33" s="7">
        <f t="shared" si="0"/>
        <v>60</v>
      </c>
      <c r="F33" s="27" t="s">
        <v>570</v>
      </c>
      <c r="M33" s="41"/>
    </row>
    <row r="34" spans="1:13">
      <c r="A34" s="13"/>
      <c r="B34" s="39"/>
      <c r="C34" s="7" t="s">
        <v>18</v>
      </c>
      <c r="D34" s="7"/>
      <c r="E34" s="8">
        <f>SUM(E5:E33)</f>
        <v>1740</v>
      </c>
      <c r="M34" s="40"/>
    </row>
    <row r="35" spans="13:13">
      <c r="M35" s="40"/>
    </row>
    <row r="36" spans="13:13">
      <c r="M36" s="40"/>
    </row>
    <row r="37" spans="13:13">
      <c r="M37" s="40"/>
    </row>
    <row r="38" spans="13:13">
      <c r="M38" s="12"/>
    </row>
  </sheetData>
  <mergeCells count="6">
    <mergeCell ref="A1:C1"/>
    <mergeCell ref="D1:F1"/>
    <mergeCell ref="A2:C2"/>
    <mergeCell ref="D2:F2"/>
    <mergeCell ref="A3:F3"/>
    <mergeCell ref="C34:D34"/>
  </mergeCells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workbookViewId="0">
      <selection activeCell="F17" sqref="F17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635</v>
      </c>
      <c r="B1" s="1"/>
      <c r="C1" s="1"/>
      <c r="D1" s="1" t="s">
        <v>607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1">
        <v>6436</v>
      </c>
      <c r="B5" s="27" t="s">
        <v>610</v>
      </c>
      <c r="C5" s="7">
        <v>350</v>
      </c>
      <c r="D5" s="7">
        <v>1.2</v>
      </c>
      <c r="E5" s="7">
        <f t="shared" ref="E5:E33" si="0">C5*D5</f>
        <v>420</v>
      </c>
      <c r="F5" s="27" t="s">
        <v>611</v>
      </c>
    </row>
    <row r="6" spans="1:13">
      <c r="A6" s="16">
        <v>6744</v>
      </c>
      <c r="B6" s="27" t="s">
        <v>612</v>
      </c>
      <c r="C6" s="7">
        <v>350</v>
      </c>
      <c r="D6" s="7">
        <v>1.2</v>
      </c>
      <c r="E6" s="7">
        <f t="shared" si="0"/>
        <v>420</v>
      </c>
      <c r="F6" s="27" t="s">
        <v>611</v>
      </c>
      <c r="M6" s="41"/>
    </row>
    <row r="7" spans="1:13">
      <c r="A7" s="16">
        <v>6741</v>
      </c>
      <c r="B7" s="27" t="s">
        <v>613</v>
      </c>
      <c r="C7" s="7">
        <v>350</v>
      </c>
      <c r="D7" s="7">
        <v>1.2</v>
      </c>
      <c r="E7" s="7">
        <f t="shared" si="0"/>
        <v>420</v>
      </c>
      <c r="F7" s="27" t="s">
        <v>611</v>
      </c>
      <c r="M7" s="41"/>
    </row>
    <row r="8" spans="1:13">
      <c r="A8" s="16">
        <v>6753</v>
      </c>
      <c r="B8" s="27" t="s">
        <v>614</v>
      </c>
      <c r="C8" s="7">
        <v>350</v>
      </c>
      <c r="D8" s="7">
        <v>1.2</v>
      </c>
      <c r="E8" s="7">
        <f t="shared" si="0"/>
        <v>420</v>
      </c>
      <c r="F8" s="27" t="s">
        <v>611</v>
      </c>
      <c r="M8" s="41"/>
    </row>
    <row r="9" spans="1:13">
      <c r="A9" s="16">
        <v>6745</v>
      </c>
      <c r="B9" s="27" t="s">
        <v>615</v>
      </c>
      <c r="C9" s="7">
        <v>350</v>
      </c>
      <c r="D9" s="7">
        <v>1.2</v>
      </c>
      <c r="E9" s="7">
        <f t="shared" si="0"/>
        <v>420</v>
      </c>
      <c r="F9" s="27" t="s">
        <v>611</v>
      </c>
      <c r="M9" s="41"/>
    </row>
    <row r="10" spans="1:13">
      <c r="A10" s="16">
        <v>6759</v>
      </c>
      <c r="B10" s="27" t="s">
        <v>616</v>
      </c>
      <c r="C10" s="7">
        <v>350</v>
      </c>
      <c r="D10" s="7">
        <v>1.2</v>
      </c>
      <c r="E10" s="7">
        <f t="shared" si="0"/>
        <v>420</v>
      </c>
      <c r="F10" s="27" t="s">
        <v>611</v>
      </c>
      <c r="M10" s="41"/>
    </row>
    <row r="11" spans="1:13">
      <c r="A11" s="16">
        <v>6757</v>
      </c>
      <c r="B11" s="27" t="s">
        <v>617</v>
      </c>
      <c r="C11" s="7">
        <v>350</v>
      </c>
      <c r="D11" s="7">
        <v>1.2</v>
      </c>
      <c r="E11" s="7">
        <f t="shared" si="0"/>
        <v>420</v>
      </c>
      <c r="F11" s="27" t="s">
        <v>611</v>
      </c>
      <c r="M11" s="41"/>
    </row>
    <row r="12" spans="1:13">
      <c r="A12" s="7">
        <v>6772</v>
      </c>
      <c r="B12" s="27" t="s">
        <v>618</v>
      </c>
      <c r="C12" s="7">
        <v>350</v>
      </c>
      <c r="D12" s="7">
        <v>1.2</v>
      </c>
      <c r="E12" s="7">
        <f t="shared" si="0"/>
        <v>420</v>
      </c>
      <c r="F12" s="27" t="s">
        <v>570</v>
      </c>
      <c r="M12" s="41"/>
    </row>
    <row r="13" spans="1:13">
      <c r="A13" s="7">
        <v>6773</v>
      </c>
      <c r="B13" s="27" t="s">
        <v>619</v>
      </c>
      <c r="C13" s="7">
        <v>350</v>
      </c>
      <c r="D13" s="7">
        <v>1.2</v>
      </c>
      <c r="E13" s="7">
        <f t="shared" si="0"/>
        <v>420</v>
      </c>
      <c r="F13" s="27" t="s">
        <v>570</v>
      </c>
      <c r="M13" s="41"/>
    </row>
    <row r="14" spans="1:13">
      <c r="A14" s="7">
        <v>6774</v>
      </c>
      <c r="B14" s="27" t="s">
        <v>211</v>
      </c>
      <c r="C14" s="7">
        <v>350</v>
      </c>
      <c r="D14" s="7">
        <v>1.2</v>
      </c>
      <c r="E14" s="7">
        <f t="shared" si="0"/>
        <v>420</v>
      </c>
      <c r="F14" s="27" t="s">
        <v>570</v>
      </c>
      <c r="M14" s="41"/>
    </row>
    <row r="15" spans="1:13">
      <c r="A15" s="27">
        <v>6544</v>
      </c>
      <c r="B15" s="27" t="s">
        <v>620</v>
      </c>
      <c r="C15" s="7">
        <v>350</v>
      </c>
      <c r="D15" s="7">
        <v>1.2</v>
      </c>
      <c r="E15" s="7">
        <f t="shared" si="0"/>
        <v>420</v>
      </c>
      <c r="F15" s="27" t="s">
        <v>570</v>
      </c>
      <c r="M15" s="41"/>
    </row>
    <row r="16" spans="1:13">
      <c r="A16" s="7">
        <v>6682</v>
      </c>
      <c r="B16" s="27" t="s">
        <v>177</v>
      </c>
      <c r="C16" s="7">
        <v>350</v>
      </c>
      <c r="D16" s="7">
        <v>1.2</v>
      </c>
      <c r="E16" s="7">
        <f t="shared" si="0"/>
        <v>420</v>
      </c>
      <c r="F16" s="27" t="s">
        <v>570</v>
      </c>
      <c r="M16" s="41"/>
    </row>
    <row r="17" spans="1:13">
      <c r="A17" s="7">
        <v>6681</v>
      </c>
      <c r="B17" s="27" t="s">
        <v>178</v>
      </c>
      <c r="C17" s="7">
        <v>350</v>
      </c>
      <c r="D17" s="7">
        <v>1.2</v>
      </c>
      <c r="E17" s="7">
        <f t="shared" si="0"/>
        <v>420</v>
      </c>
      <c r="F17" s="27" t="s">
        <v>570</v>
      </c>
      <c r="M17" s="41"/>
    </row>
    <row r="18" spans="1:13">
      <c r="A18" s="7">
        <v>6680</v>
      </c>
      <c r="B18" s="27" t="s">
        <v>209</v>
      </c>
      <c r="C18" s="7">
        <v>350</v>
      </c>
      <c r="D18" s="7">
        <v>1.2</v>
      </c>
      <c r="E18" s="7">
        <f t="shared" si="0"/>
        <v>420</v>
      </c>
      <c r="F18" s="27" t="s">
        <v>570</v>
      </c>
      <c r="M18" s="41"/>
    </row>
    <row r="19" spans="1:13">
      <c r="A19" s="7">
        <v>6511</v>
      </c>
      <c r="B19" s="27" t="s">
        <v>621</v>
      </c>
      <c r="C19" s="7">
        <v>350</v>
      </c>
      <c r="D19" s="7">
        <v>1.2</v>
      </c>
      <c r="E19" s="7">
        <f t="shared" si="0"/>
        <v>420</v>
      </c>
      <c r="F19" s="27" t="s">
        <v>570</v>
      </c>
      <c r="M19" s="41"/>
    </row>
    <row r="20" spans="1:13">
      <c r="A20" s="7">
        <v>6679</v>
      </c>
      <c r="B20" s="27" t="s">
        <v>175</v>
      </c>
      <c r="C20" s="7">
        <v>350</v>
      </c>
      <c r="D20" s="7">
        <v>1.2</v>
      </c>
      <c r="E20" s="7">
        <f t="shared" si="0"/>
        <v>420</v>
      </c>
      <c r="F20" s="27" t="s">
        <v>570</v>
      </c>
      <c r="M20" s="41"/>
    </row>
    <row r="21" spans="1:13">
      <c r="A21" s="27">
        <v>6421</v>
      </c>
      <c r="B21" s="27" t="s">
        <v>622</v>
      </c>
      <c r="C21" s="7">
        <v>350</v>
      </c>
      <c r="D21" s="7">
        <v>1.2</v>
      </c>
      <c r="E21" s="7">
        <f t="shared" si="0"/>
        <v>420</v>
      </c>
      <c r="F21" s="27" t="s">
        <v>611</v>
      </c>
      <c r="M21" s="41"/>
    </row>
    <row r="22" spans="1:13">
      <c r="A22" s="27">
        <v>6420</v>
      </c>
      <c r="B22" s="27" t="s">
        <v>623</v>
      </c>
      <c r="C22" s="7">
        <v>350</v>
      </c>
      <c r="D22" s="7">
        <v>1.2</v>
      </c>
      <c r="E22" s="7">
        <f t="shared" si="0"/>
        <v>420</v>
      </c>
      <c r="F22" s="27" t="s">
        <v>611</v>
      </c>
      <c r="M22" s="41"/>
    </row>
    <row r="23" spans="1:13">
      <c r="A23" s="27">
        <v>6442</v>
      </c>
      <c r="B23" s="27" t="s">
        <v>624</v>
      </c>
      <c r="C23" s="7">
        <v>350</v>
      </c>
      <c r="D23" s="7">
        <v>1.2</v>
      </c>
      <c r="E23" s="7">
        <f t="shared" si="0"/>
        <v>420</v>
      </c>
      <c r="F23" s="27" t="s">
        <v>611</v>
      </c>
      <c r="M23" s="41"/>
    </row>
    <row r="24" spans="1:13">
      <c r="A24" s="16">
        <v>6742</v>
      </c>
      <c r="B24" s="27" t="s">
        <v>625</v>
      </c>
      <c r="C24" s="7">
        <v>350</v>
      </c>
      <c r="D24" s="7">
        <v>1.2</v>
      </c>
      <c r="E24" s="7">
        <f t="shared" si="0"/>
        <v>420</v>
      </c>
      <c r="F24" s="27" t="s">
        <v>611</v>
      </c>
      <c r="M24" s="41"/>
    </row>
    <row r="25" spans="1:13">
      <c r="A25" s="16">
        <v>6740</v>
      </c>
      <c r="B25" s="27" t="s">
        <v>626</v>
      </c>
      <c r="C25" s="7">
        <v>350</v>
      </c>
      <c r="D25" s="7">
        <v>1.2</v>
      </c>
      <c r="E25" s="7">
        <f t="shared" si="0"/>
        <v>420</v>
      </c>
      <c r="F25" s="27" t="s">
        <v>611</v>
      </c>
      <c r="M25" s="41"/>
    </row>
    <row r="26" spans="1:13">
      <c r="A26" s="27">
        <v>6422</v>
      </c>
      <c r="B26" s="27" t="s">
        <v>627</v>
      </c>
      <c r="C26" s="7">
        <v>350</v>
      </c>
      <c r="D26" s="7">
        <v>1.2</v>
      </c>
      <c r="E26" s="7">
        <f t="shared" si="0"/>
        <v>420</v>
      </c>
      <c r="F26" s="27" t="s">
        <v>611</v>
      </c>
      <c r="M26" s="41"/>
    </row>
    <row r="27" spans="1:13">
      <c r="A27" s="16">
        <v>6746</v>
      </c>
      <c r="B27" s="27" t="s">
        <v>628</v>
      </c>
      <c r="C27" s="7">
        <v>350</v>
      </c>
      <c r="D27" s="7">
        <v>1.2</v>
      </c>
      <c r="E27" s="7">
        <f t="shared" si="0"/>
        <v>420</v>
      </c>
      <c r="F27" s="27" t="s">
        <v>611</v>
      </c>
      <c r="M27" s="41"/>
    </row>
    <row r="28" spans="1:13">
      <c r="A28" s="16">
        <v>6752</v>
      </c>
      <c r="B28" s="27" t="s">
        <v>629</v>
      </c>
      <c r="C28" s="7">
        <v>350</v>
      </c>
      <c r="D28" s="7">
        <v>1.2</v>
      </c>
      <c r="E28" s="7">
        <f t="shared" si="0"/>
        <v>420</v>
      </c>
      <c r="F28" s="27" t="s">
        <v>611</v>
      </c>
      <c r="M28" s="41"/>
    </row>
    <row r="29" spans="1:13">
      <c r="A29" s="16">
        <v>6747</v>
      </c>
      <c r="B29" s="37" t="s">
        <v>630</v>
      </c>
      <c r="C29" s="7">
        <v>350</v>
      </c>
      <c r="D29" s="7">
        <v>1.2</v>
      </c>
      <c r="E29" s="7">
        <f t="shared" si="0"/>
        <v>420</v>
      </c>
      <c r="F29" s="27" t="s">
        <v>611</v>
      </c>
      <c r="M29" s="41"/>
    </row>
    <row r="30" spans="1:13">
      <c r="A30" s="16">
        <v>6748</v>
      </c>
      <c r="B30" s="27" t="s">
        <v>631</v>
      </c>
      <c r="C30" s="7">
        <v>350</v>
      </c>
      <c r="D30" s="7">
        <v>1.2</v>
      </c>
      <c r="E30" s="7">
        <f t="shared" si="0"/>
        <v>420</v>
      </c>
      <c r="F30" s="27" t="s">
        <v>611</v>
      </c>
      <c r="M30" s="41"/>
    </row>
    <row r="31" spans="1:13">
      <c r="A31" s="16">
        <v>6749</v>
      </c>
      <c r="B31" s="27" t="s">
        <v>632</v>
      </c>
      <c r="C31" s="7">
        <v>350</v>
      </c>
      <c r="D31" s="7">
        <v>1.2</v>
      </c>
      <c r="E31" s="7">
        <f t="shared" si="0"/>
        <v>420</v>
      </c>
      <c r="F31" s="27" t="s">
        <v>611</v>
      </c>
      <c r="M31" s="41"/>
    </row>
    <row r="32" spans="1:13">
      <c r="A32" s="27">
        <v>6423</v>
      </c>
      <c r="B32" s="27" t="s">
        <v>633</v>
      </c>
      <c r="C32" s="7">
        <v>350</v>
      </c>
      <c r="D32" s="7">
        <v>1.2</v>
      </c>
      <c r="E32" s="7">
        <f t="shared" si="0"/>
        <v>420</v>
      </c>
      <c r="F32" s="27" t="s">
        <v>611</v>
      </c>
      <c r="M32" s="41"/>
    </row>
    <row r="33" spans="1:13">
      <c r="A33" s="7">
        <v>6620</v>
      </c>
      <c r="B33" s="27" t="s">
        <v>634</v>
      </c>
      <c r="C33" s="7">
        <v>350</v>
      </c>
      <c r="D33" s="7">
        <v>1.2</v>
      </c>
      <c r="E33" s="7">
        <f t="shared" si="0"/>
        <v>420</v>
      </c>
      <c r="F33" s="27" t="s">
        <v>570</v>
      </c>
      <c r="M33" s="41"/>
    </row>
    <row r="34" spans="1:13">
      <c r="A34" s="13"/>
      <c r="B34" s="39"/>
      <c r="C34" s="7" t="s">
        <v>18</v>
      </c>
      <c r="D34" s="7"/>
      <c r="E34" s="8">
        <f>SUM(E5:E33)</f>
        <v>12180</v>
      </c>
      <c r="M34" s="40"/>
    </row>
    <row r="35" spans="13:13">
      <c r="M35" s="40"/>
    </row>
    <row r="36" spans="13:13">
      <c r="M36" s="40"/>
    </row>
    <row r="37" spans="13:13">
      <c r="M37" s="40"/>
    </row>
    <row r="38" spans="13:13">
      <c r="M38" s="12"/>
    </row>
  </sheetData>
  <mergeCells count="6">
    <mergeCell ref="A1:C1"/>
    <mergeCell ref="D1:F1"/>
    <mergeCell ref="A2:C2"/>
    <mergeCell ref="D2:F2"/>
    <mergeCell ref="A3:F3"/>
    <mergeCell ref="C34:D34"/>
  </mergeCells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D34" sqref="D34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636</v>
      </c>
      <c r="B1" s="1"/>
      <c r="C1" s="1"/>
      <c r="D1" s="1" t="s">
        <v>607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6682</v>
      </c>
      <c r="B5" s="27" t="s">
        <v>177</v>
      </c>
      <c r="C5" s="7">
        <v>40</v>
      </c>
      <c r="D5" s="7">
        <v>1.2</v>
      </c>
      <c r="E5" s="7">
        <f>C5*D5</f>
        <v>48</v>
      </c>
      <c r="F5" s="27" t="s">
        <v>570</v>
      </c>
    </row>
    <row r="6" spans="1:13">
      <c r="A6" s="7">
        <v>6681</v>
      </c>
      <c r="B6" s="27" t="s">
        <v>178</v>
      </c>
      <c r="C6" s="7">
        <v>40</v>
      </c>
      <c r="D6" s="7">
        <v>1.2</v>
      </c>
      <c r="E6" s="7">
        <f>C6*D6</f>
        <v>48</v>
      </c>
      <c r="F6" s="27" t="s">
        <v>570</v>
      </c>
      <c r="M6" s="41"/>
    </row>
    <row r="7" spans="1:13">
      <c r="A7" s="7">
        <v>6680</v>
      </c>
      <c r="B7" s="27" t="s">
        <v>209</v>
      </c>
      <c r="C7" s="7">
        <v>40</v>
      </c>
      <c r="D7" s="7">
        <v>1.2</v>
      </c>
      <c r="E7" s="7">
        <f>C7*D7</f>
        <v>48</v>
      </c>
      <c r="F7" s="27" t="s">
        <v>570</v>
      </c>
      <c r="M7" s="41"/>
    </row>
    <row r="8" spans="1:13">
      <c r="A8" s="7">
        <v>6511</v>
      </c>
      <c r="B8" s="27" t="s">
        <v>621</v>
      </c>
      <c r="C8" s="7">
        <v>40</v>
      </c>
      <c r="D8" s="7">
        <v>1.2</v>
      </c>
      <c r="E8" s="7">
        <f>C8*D8</f>
        <v>48</v>
      </c>
      <c r="F8" s="27" t="s">
        <v>570</v>
      </c>
      <c r="M8" s="41"/>
    </row>
    <row r="9" spans="1:13">
      <c r="A9" s="7">
        <v>6679</v>
      </c>
      <c r="B9" s="27" t="s">
        <v>175</v>
      </c>
      <c r="C9" s="7">
        <v>40</v>
      </c>
      <c r="D9" s="7">
        <v>1.2</v>
      </c>
      <c r="E9" s="7">
        <f>C9*D9</f>
        <v>48</v>
      </c>
      <c r="F9" s="27" t="s">
        <v>570</v>
      </c>
      <c r="M9" s="41"/>
    </row>
    <row r="10" spans="1:13">
      <c r="A10" s="13"/>
      <c r="B10" s="39"/>
      <c r="C10" s="7" t="s">
        <v>18</v>
      </c>
      <c r="D10" s="7"/>
      <c r="E10" s="8">
        <f>SUM(E5:E9)</f>
        <v>240</v>
      </c>
      <c r="M10" s="40"/>
    </row>
    <row r="11" spans="13:13">
      <c r="M11" s="40"/>
    </row>
    <row r="12" spans="13:13">
      <c r="M12" s="40"/>
    </row>
    <row r="13" spans="13:13">
      <c r="M13" s="40"/>
    </row>
    <row r="14" spans="13:13">
      <c r="M14" s="12"/>
    </row>
    <row r="33" spans="7:10">
      <c r="G33" s="13"/>
      <c r="H33" s="13"/>
      <c r="I33" s="13"/>
      <c r="J33" s="12"/>
    </row>
    <row r="34" spans="7:10">
      <c r="G34" s="13"/>
      <c r="H34" s="13"/>
      <c r="I34" s="13"/>
      <c r="J34" s="12"/>
    </row>
    <row r="35" spans="7:10">
      <c r="G35" s="13"/>
      <c r="H35" s="13"/>
      <c r="I35" s="13"/>
      <c r="J35" s="12"/>
    </row>
    <row r="36" spans="7:10">
      <c r="G36" s="13"/>
      <c r="H36" s="42"/>
      <c r="I36" s="43"/>
      <c r="J36" s="12"/>
    </row>
    <row r="37" spans="7:10">
      <c r="G37" s="12"/>
      <c r="H37" s="12"/>
      <c r="I37" s="12"/>
      <c r="J37" s="12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L32" sqref="L32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637</v>
      </c>
      <c r="B1" s="1"/>
      <c r="C1" s="1"/>
      <c r="D1" s="1" t="s">
        <v>607</v>
      </c>
      <c r="E1" s="1"/>
      <c r="F1" s="1"/>
    </row>
    <row r="2" spans="1:6">
      <c r="A2" s="2" t="s">
        <v>61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 t="s">
        <v>49</v>
      </c>
      <c r="B5" s="27" t="s">
        <v>446</v>
      </c>
      <c r="C5" s="7">
        <v>210</v>
      </c>
      <c r="D5" s="7">
        <v>2745</v>
      </c>
      <c r="E5" s="7">
        <f>C5*D5</f>
        <v>576450</v>
      </c>
      <c r="F5" s="27" t="s">
        <v>49</v>
      </c>
      <c r="M5" s="41"/>
    </row>
    <row r="6" spans="1:13">
      <c r="A6" s="13"/>
      <c r="B6" s="39"/>
      <c r="C6" s="7" t="s">
        <v>18</v>
      </c>
      <c r="D6" s="7"/>
      <c r="E6" s="8">
        <f>SUM(E5:E5)</f>
        <v>576450</v>
      </c>
      <c r="M6" s="40"/>
    </row>
    <row r="7" spans="13:13">
      <c r="M7" s="40"/>
    </row>
    <row r="8" spans="13:13">
      <c r="M8" s="40"/>
    </row>
    <row r="9" spans="13:13">
      <c r="M9" s="40"/>
    </row>
    <row r="10" spans="13:13">
      <c r="M1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P39" sqref="P39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638</v>
      </c>
      <c r="B1" s="1"/>
      <c r="C1" s="1"/>
      <c r="D1" s="1" t="s">
        <v>607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6614</v>
      </c>
      <c r="B5" s="27" t="s">
        <v>559</v>
      </c>
      <c r="C5" s="7">
        <v>80</v>
      </c>
      <c r="D5" s="7">
        <v>1.2</v>
      </c>
      <c r="E5" s="7">
        <f>C5*D5</f>
        <v>96</v>
      </c>
      <c r="F5" s="27" t="s">
        <v>570</v>
      </c>
      <c r="M5" s="41"/>
    </row>
    <row r="6" spans="1:13">
      <c r="A6" s="13"/>
      <c r="B6" s="39"/>
      <c r="C6" s="7" t="s">
        <v>18</v>
      </c>
      <c r="D6" s="7"/>
      <c r="E6" s="8">
        <f>SUM(E5:E5)</f>
        <v>96</v>
      </c>
      <c r="M6" s="40"/>
    </row>
    <row r="7" spans="13:13">
      <c r="M7" s="40"/>
    </row>
    <row r="8" spans="13:13">
      <c r="M8" s="40"/>
    </row>
    <row r="9" spans="13:13">
      <c r="M9" s="40"/>
    </row>
    <row r="10" spans="13:13">
      <c r="M1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F31" sqref="A1:F31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639</v>
      </c>
      <c r="B1" s="1"/>
      <c r="C1" s="1"/>
      <c r="D1" s="1" t="s">
        <v>607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6606</v>
      </c>
      <c r="B5" s="37" t="s">
        <v>558</v>
      </c>
      <c r="C5" s="7">
        <v>60</v>
      </c>
      <c r="D5" s="7">
        <v>2875</v>
      </c>
      <c r="E5" s="7">
        <f>C5*D5</f>
        <v>172500</v>
      </c>
      <c r="F5" s="27" t="s">
        <v>570</v>
      </c>
      <c r="M5" s="41"/>
    </row>
    <row r="6" spans="1:13">
      <c r="A6" s="27">
        <v>6537</v>
      </c>
      <c r="B6" s="27" t="s">
        <v>469</v>
      </c>
      <c r="C6" s="7">
        <v>100</v>
      </c>
      <c r="D6" s="7">
        <v>2875</v>
      </c>
      <c r="E6" s="7">
        <f t="shared" ref="E6:E31" si="0">C6*D6</f>
        <v>287500</v>
      </c>
      <c r="F6" s="27" t="s">
        <v>570</v>
      </c>
      <c r="M6" s="41"/>
    </row>
    <row r="7" spans="1:13">
      <c r="A7" s="27">
        <v>6527</v>
      </c>
      <c r="B7" s="27" t="s">
        <v>471</v>
      </c>
      <c r="C7" s="7">
        <v>100</v>
      </c>
      <c r="D7" s="7">
        <v>2875</v>
      </c>
      <c r="E7" s="7">
        <f t="shared" si="0"/>
        <v>287500</v>
      </c>
      <c r="F7" s="27" t="s">
        <v>570</v>
      </c>
      <c r="M7" s="41"/>
    </row>
    <row r="8" spans="1:13">
      <c r="A8" s="27">
        <v>6366</v>
      </c>
      <c r="B8" s="27" t="s">
        <v>503</v>
      </c>
      <c r="C8" s="7">
        <v>100</v>
      </c>
      <c r="D8" s="7">
        <v>2875</v>
      </c>
      <c r="E8" s="7">
        <f t="shared" si="0"/>
        <v>287500</v>
      </c>
      <c r="F8" s="27" t="s">
        <v>570</v>
      </c>
      <c r="M8" s="41"/>
    </row>
    <row r="9" spans="1:13">
      <c r="A9" s="7">
        <v>6416</v>
      </c>
      <c r="B9" s="27" t="s">
        <v>62</v>
      </c>
      <c r="C9" s="7">
        <v>100</v>
      </c>
      <c r="D9" s="7">
        <v>2875</v>
      </c>
      <c r="E9" s="7">
        <f t="shared" si="0"/>
        <v>287500</v>
      </c>
      <c r="F9" s="27" t="s">
        <v>570</v>
      </c>
      <c r="M9" s="41"/>
    </row>
    <row r="10" spans="1:13">
      <c r="A10" s="27">
        <v>6445</v>
      </c>
      <c r="B10" s="27" t="s">
        <v>481</v>
      </c>
      <c r="C10" s="7">
        <v>100</v>
      </c>
      <c r="D10" s="7">
        <v>2875</v>
      </c>
      <c r="E10" s="7">
        <f t="shared" si="0"/>
        <v>287500</v>
      </c>
      <c r="F10" s="27" t="s">
        <v>611</v>
      </c>
      <c r="M10" s="41"/>
    </row>
    <row r="11" spans="1:13">
      <c r="A11" s="27">
        <v>6602</v>
      </c>
      <c r="B11" s="27" t="s">
        <v>419</v>
      </c>
      <c r="C11" s="7">
        <v>100</v>
      </c>
      <c r="D11" s="7">
        <v>2875</v>
      </c>
      <c r="E11" s="7">
        <f t="shared" si="0"/>
        <v>287500</v>
      </c>
      <c r="F11" s="27" t="s">
        <v>570</v>
      </c>
      <c r="M11" s="41"/>
    </row>
    <row r="12" spans="1:13">
      <c r="A12" s="7">
        <v>6375</v>
      </c>
      <c r="B12" s="27" t="s">
        <v>144</v>
      </c>
      <c r="C12" s="7">
        <v>100</v>
      </c>
      <c r="D12" s="7">
        <v>2875</v>
      </c>
      <c r="E12" s="7">
        <f t="shared" si="0"/>
        <v>287500</v>
      </c>
      <c r="F12" s="27" t="s">
        <v>570</v>
      </c>
      <c r="M12" s="41"/>
    </row>
    <row r="13" spans="1:13">
      <c r="A13" s="27">
        <v>6410</v>
      </c>
      <c r="B13" s="27" t="s">
        <v>541</v>
      </c>
      <c r="C13" s="7">
        <v>100</v>
      </c>
      <c r="D13" s="7">
        <v>2875</v>
      </c>
      <c r="E13" s="7">
        <f t="shared" si="0"/>
        <v>287500</v>
      </c>
      <c r="F13" s="27" t="s">
        <v>570</v>
      </c>
      <c r="M13" s="41"/>
    </row>
    <row r="14" spans="1:13">
      <c r="A14" s="7">
        <v>6411</v>
      </c>
      <c r="B14" s="27" t="s">
        <v>542</v>
      </c>
      <c r="C14" s="7">
        <v>100</v>
      </c>
      <c r="D14" s="7">
        <v>2875</v>
      </c>
      <c r="E14" s="7">
        <f t="shared" si="0"/>
        <v>287500</v>
      </c>
      <c r="F14" s="27" t="s">
        <v>570</v>
      </c>
      <c r="I14" s="39"/>
      <c r="M14" s="41"/>
    </row>
    <row r="15" spans="1:13">
      <c r="A15" s="7">
        <v>6666</v>
      </c>
      <c r="B15" s="27" t="s">
        <v>508</v>
      </c>
      <c r="C15" s="7">
        <v>100</v>
      </c>
      <c r="D15" s="7">
        <v>2875</v>
      </c>
      <c r="E15" s="7">
        <f t="shared" si="0"/>
        <v>287500</v>
      </c>
      <c r="F15" s="27" t="s">
        <v>570</v>
      </c>
      <c r="I15" s="39"/>
      <c r="M15" s="41"/>
    </row>
    <row r="16" spans="1:13">
      <c r="A16" s="7">
        <v>6317</v>
      </c>
      <c r="B16" s="27" t="s">
        <v>360</v>
      </c>
      <c r="C16" s="7">
        <v>100</v>
      </c>
      <c r="D16" s="7">
        <v>2875</v>
      </c>
      <c r="E16" s="7">
        <f t="shared" si="0"/>
        <v>287500</v>
      </c>
      <c r="F16" s="27" t="s">
        <v>570</v>
      </c>
      <c r="I16" s="39"/>
      <c r="M16" s="41"/>
    </row>
    <row r="17" spans="1:13">
      <c r="A17" s="27">
        <v>6605</v>
      </c>
      <c r="B17" s="27" t="s">
        <v>569</v>
      </c>
      <c r="C17" s="7">
        <v>100</v>
      </c>
      <c r="D17" s="7">
        <v>2875</v>
      </c>
      <c r="E17" s="7">
        <f t="shared" si="0"/>
        <v>287500</v>
      </c>
      <c r="F17" s="27" t="s">
        <v>570</v>
      </c>
      <c r="I17" s="39"/>
      <c r="M17" s="41"/>
    </row>
    <row r="18" spans="1:13">
      <c r="A18" s="27">
        <v>6603</v>
      </c>
      <c r="B18" s="27" t="s">
        <v>420</v>
      </c>
      <c r="C18" s="7">
        <v>100</v>
      </c>
      <c r="D18" s="7">
        <v>2875</v>
      </c>
      <c r="E18" s="7">
        <f t="shared" si="0"/>
        <v>287500</v>
      </c>
      <c r="F18" s="27" t="s">
        <v>570</v>
      </c>
      <c r="I18" s="39"/>
      <c r="M18" s="41"/>
    </row>
    <row r="19" spans="1:13">
      <c r="A19" s="7">
        <v>6633</v>
      </c>
      <c r="B19" s="27" t="s">
        <v>548</v>
      </c>
      <c r="C19" s="7">
        <v>100</v>
      </c>
      <c r="D19" s="7">
        <v>2875</v>
      </c>
      <c r="E19" s="7">
        <f t="shared" si="0"/>
        <v>287500</v>
      </c>
      <c r="F19" s="27" t="s">
        <v>570</v>
      </c>
      <c r="I19" s="39"/>
      <c r="M19" s="41"/>
    </row>
    <row r="20" spans="1:13">
      <c r="A20" s="27">
        <v>6535</v>
      </c>
      <c r="B20" s="27" t="s">
        <v>468</v>
      </c>
      <c r="C20" s="7">
        <v>100</v>
      </c>
      <c r="D20" s="7">
        <v>2875</v>
      </c>
      <c r="E20" s="7">
        <f t="shared" si="0"/>
        <v>287500</v>
      </c>
      <c r="F20" s="27" t="s">
        <v>570</v>
      </c>
      <c r="I20" s="39"/>
      <c r="M20" s="41"/>
    </row>
    <row r="21" spans="1:13">
      <c r="A21" s="27">
        <v>6441</v>
      </c>
      <c r="B21" s="27" t="s">
        <v>478</v>
      </c>
      <c r="C21" s="7">
        <v>100</v>
      </c>
      <c r="D21" s="7">
        <v>2875</v>
      </c>
      <c r="E21" s="7">
        <f t="shared" si="0"/>
        <v>287500</v>
      </c>
      <c r="F21" s="27" t="s">
        <v>570</v>
      </c>
      <c r="M21" s="41"/>
    </row>
    <row r="22" spans="1:13">
      <c r="A22" s="27">
        <v>6364</v>
      </c>
      <c r="B22" s="27" t="s">
        <v>504</v>
      </c>
      <c r="C22" s="7">
        <v>100</v>
      </c>
      <c r="D22" s="7">
        <v>2875</v>
      </c>
      <c r="E22" s="7">
        <f t="shared" si="0"/>
        <v>287500</v>
      </c>
      <c r="F22" s="27" t="s">
        <v>570</v>
      </c>
      <c r="M22" s="41"/>
    </row>
    <row r="23" spans="1:13">
      <c r="A23" s="27">
        <v>6280</v>
      </c>
      <c r="B23" s="27" t="s">
        <v>362</v>
      </c>
      <c r="C23" s="7">
        <v>100</v>
      </c>
      <c r="D23" s="7">
        <v>2875</v>
      </c>
      <c r="E23" s="7">
        <f t="shared" si="0"/>
        <v>287500</v>
      </c>
      <c r="F23" s="27" t="s">
        <v>570</v>
      </c>
      <c r="M23" s="41"/>
    </row>
    <row r="24" spans="1:13">
      <c r="A24" s="27">
        <v>6641</v>
      </c>
      <c r="B24" s="27" t="s">
        <v>501</v>
      </c>
      <c r="C24" s="7">
        <v>100</v>
      </c>
      <c r="D24" s="7">
        <v>2875</v>
      </c>
      <c r="E24" s="7">
        <f t="shared" si="0"/>
        <v>287500</v>
      </c>
      <c r="F24" s="27" t="s">
        <v>570</v>
      </c>
      <c r="M24" s="41"/>
    </row>
    <row r="25" spans="1:13">
      <c r="A25" s="27">
        <v>6533</v>
      </c>
      <c r="B25" s="27" t="s">
        <v>467</v>
      </c>
      <c r="C25" s="7">
        <v>100</v>
      </c>
      <c r="D25" s="7">
        <v>2875</v>
      </c>
      <c r="E25" s="7">
        <f t="shared" si="0"/>
        <v>287500</v>
      </c>
      <c r="F25" s="27" t="s">
        <v>570</v>
      </c>
      <c r="M25" s="41"/>
    </row>
    <row r="26" spans="1:13">
      <c r="A26" s="27">
        <v>6604</v>
      </c>
      <c r="B26" s="27" t="s">
        <v>421</v>
      </c>
      <c r="C26" s="7">
        <v>100</v>
      </c>
      <c r="D26" s="7">
        <v>2875</v>
      </c>
      <c r="E26" s="7">
        <f t="shared" si="0"/>
        <v>287500</v>
      </c>
      <c r="F26" s="27" t="s">
        <v>570</v>
      </c>
      <c r="M26" s="41"/>
    </row>
    <row r="27" spans="1:13">
      <c r="A27" s="27">
        <v>6434</v>
      </c>
      <c r="B27" s="27" t="s">
        <v>474</v>
      </c>
      <c r="C27" s="7">
        <v>100</v>
      </c>
      <c r="D27" s="7">
        <v>2875</v>
      </c>
      <c r="E27" s="7">
        <f t="shared" si="0"/>
        <v>287500</v>
      </c>
      <c r="F27" s="27" t="s">
        <v>611</v>
      </c>
      <c r="M27" s="41"/>
    </row>
    <row r="28" spans="1:13">
      <c r="A28" s="27">
        <v>6255</v>
      </c>
      <c r="B28" s="27" t="s">
        <v>418</v>
      </c>
      <c r="C28" s="7">
        <v>100</v>
      </c>
      <c r="D28" s="7">
        <v>2875</v>
      </c>
      <c r="E28" s="7">
        <f t="shared" si="0"/>
        <v>287500</v>
      </c>
      <c r="F28" s="27" t="s">
        <v>570</v>
      </c>
      <c r="M28" s="41"/>
    </row>
    <row r="29" spans="1:13">
      <c r="A29" s="27">
        <v>6365</v>
      </c>
      <c r="B29" s="27" t="s">
        <v>505</v>
      </c>
      <c r="C29" s="7">
        <v>100</v>
      </c>
      <c r="D29" s="7">
        <v>2875</v>
      </c>
      <c r="E29" s="7">
        <f t="shared" si="0"/>
        <v>287500</v>
      </c>
      <c r="F29" s="27" t="s">
        <v>570</v>
      </c>
      <c r="M29" s="41"/>
    </row>
    <row r="30" spans="1:13">
      <c r="A30" s="7">
        <v>6609</v>
      </c>
      <c r="B30" s="27" t="s">
        <v>551</v>
      </c>
      <c r="C30" s="7">
        <v>100</v>
      </c>
      <c r="D30" s="7">
        <v>2875</v>
      </c>
      <c r="E30" s="7">
        <f t="shared" si="0"/>
        <v>287500</v>
      </c>
      <c r="F30" s="27" t="s">
        <v>570</v>
      </c>
      <c r="M30" s="41"/>
    </row>
    <row r="31" spans="1:13">
      <c r="A31" s="13"/>
      <c r="C31" s="7" t="s">
        <v>18</v>
      </c>
      <c r="D31" s="7"/>
      <c r="E31" s="8">
        <f>SUM(E5:E30)</f>
        <v>7360000</v>
      </c>
      <c r="M31" s="40"/>
    </row>
    <row r="32" spans="13:13">
      <c r="M32" s="40"/>
    </row>
    <row r="33" spans="13:13">
      <c r="M33" s="40"/>
    </row>
    <row r="34" spans="13:13">
      <c r="M34" s="40"/>
    </row>
    <row r="35" spans="13:13">
      <c r="M35" s="12"/>
    </row>
  </sheetData>
  <mergeCells count="6">
    <mergeCell ref="A1:C1"/>
    <mergeCell ref="D1:F1"/>
    <mergeCell ref="A2:C2"/>
    <mergeCell ref="D2:F2"/>
    <mergeCell ref="A3:F3"/>
    <mergeCell ref="C31:D31"/>
  </mergeCells>
  <pageMargins left="0.7" right="0.7" top="0.75" bottom="0.75" header="0.3" footer="0.3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G18" sqref="G18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640</v>
      </c>
      <c r="B1" s="1"/>
      <c r="C1" s="1"/>
      <c r="D1" s="1" t="s">
        <v>641</v>
      </c>
      <c r="E1" s="1"/>
      <c r="F1" s="1"/>
    </row>
    <row r="2" spans="1:6">
      <c r="A2" s="2" t="s">
        <v>61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6320</v>
      </c>
      <c r="B5" s="37" t="s">
        <v>358</v>
      </c>
      <c r="C5" s="7">
        <v>350</v>
      </c>
      <c r="D5" s="7">
        <v>26.2</v>
      </c>
      <c r="E5" s="7">
        <f>C5*D5</f>
        <v>9170</v>
      </c>
      <c r="F5" s="27" t="s">
        <v>570</v>
      </c>
      <c r="M5" s="41"/>
    </row>
    <row r="6" spans="1:13">
      <c r="A6" s="27">
        <v>6239</v>
      </c>
      <c r="B6" s="27" t="s">
        <v>314</v>
      </c>
      <c r="C6" s="7">
        <v>380</v>
      </c>
      <c r="D6" s="7">
        <v>26.2</v>
      </c>
      <c r="E6" s="7">
        <f>C6*D6</f>
        <v>9956</v>
      </c>
      <c r="F6" s="27" t="s">
        <v>570</v>
      </c>
      <c r="M6" s="41"/>
    </row>
    <row r="7" spans="1:13">
      <c r="A7" s="7">
        <v>6314</v>
      </c>
      <c r="B7" s="27" t="s">
        <v>357</v>
      </c>
      <c r="C7" s="7">
        <v>350</v>
      </c>
      <c r="D7" s="7">
        <v>26.2</v>
      </c>
      <c r="E7" s="7">
        <f>C7*D7</f>
        <v>9170</v>
      </c>
      <c r="F7" s="27" t="s">
        <v>570</v>
      </c>
      <c r="M7" s="41"/>
    </row>
    <row r="8" spans="1:13">
      <c r="A8" s="7">
        <v>6411</v>
      </c>
      <c r="B8" s="27" t="s">
        <v>542</v>
      </c>
      <c r="C8" s="7">
        <v>350</v>
      </c>
      <c r="D8" s="7">
        <v>26.2</v>
      </c>
      <c r="E8" s="7">
        <f>C8*D8</f>
        <v>9170</v>
      </c>
      <c r="F8" s="27" t="s">
        <v>570</v>
      </c>
      <c r="M8" s="41"/>
    </row>
    <row r="9" spans="1:13">
      <c r="A9" s="7">
        <v>6315</v>
      </c>
      <c r="B9" s="27" t="s">
        <v>359</v>
      </c>
      <c r="C9" s="7">
        <v>350</v>
      </c>
      <c r="D9" s="7">
        <v>26.2</v>
      </c>
      <c r="E9" s="7">
        <f>C9*D9</f>
        <v>9170</v>
      </c>
      <c r="F9" s="27" t="s">
        <v>570</v>
      </c>
      <c r="M9" s="41"/>
    </row>
    <row r="10" spans="1:13">
      <c r="A10" s="13"/>
      <c r="C10" s="7" t="s">
        <v>18</v>
      </c>
      <c r="D10" s="7"/>
      <c r="E10" s="8">
        <f>SUM(E5:E9)</f>
        <v>46636</v>
      </c>
      <c r="M10" s="40"/>
    </row>
    <row r="11" spans="13:13">
      <c r="M11" s="40"/>
    </row>
    <row r="12" spans="13:13">
      <c r="M12" s="40"/>
    </row>
    <row r="13" spans="13:13">
      <c r="M13" s="40"/>
    </row>
    <row r="14" spans="13:13">
      <c r="M14" s="12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L40" sqref="L40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642</v>
      </c>
      <c r="B1" s="1"/>
      <c r="C1" s="1"/>
      <c r="D1" s="1" t="s">
        <v>641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6439</v>
      </c>
      <c r="B5" s="37" t="s">
        <v>475</v>
      </c>
      <c r="C5" s="7">
        <v>100</v>
      </c>
      <c r="D5" s="7">
        <v>2875</v>
      </c>
      <c r="E5" s="7">
        <f>C5*D5</f>
        <v>287500</v>
      </c>
      <c r="F5" s="27" t="s">
        <v>611</v>
      </c>
      <c r="M5" s="41"/>
    </row>
    <row r="6" spans="1:13">
      <c r="A6" s="27">
        <v>6424</v>
      </c>
      <c r="B6" s="37" t="s">
        <v>472</v>
      </c>
      <c r="C6" s="7">
        <v>100</v>
      </c>
      <c r="D6" s="7">
        <v>2875</v>
      </c>
      <c r="E6" s="7">
        <f t="shared" ref="E6:E29" si="0">C6*D6</f>
        <v>287500</v>
      </c>
      <c r="F6" s="27" t="s">
        <v>611</v>
      </c>
      <c r="M6" s="41"/>
    </row>
    <row r="7" spans="1:13">
      <c r="A7" s="7">
        <v>6627</v>
      </c>
      <c r="B7" s="37" t="s">
        <v>459</v>
      </c>
      <c r="C7" s="7">
        <v>100</v>
      </c>
      <c r="D7" s="7">
        <v>2875</v>
      </c>
      <c r="E7" s="7">
        <f t="shared" si="0"/>
        <v>287500</v>
      </c>
      <c r="F7" s="27" t="s">
        <v>570</v>
      </c>
      <c r="M7" s="41"/>
    </row>
    <row r="8" spans="1:13">
      <c r="A8" s="7">
        <v>6628</v>
      </c>
      <c r="B8" s="37" t="s">
        <v>460</v>
      </c>
      <c r="C8" s="7">
        <v>100</v>
      </c>
      <c r="D8" s="7">
        <v>2875</v>
      </c>
      <c r="E8" s="7">
        <f t="shared" si="0"/>
        <v>287500</v>
      </c>
      <c r="F8" s="27" t="s">
        <v>570</v>
      </c>
      <c r="M8" s="41"/>
    </row>
    <row r="9" spans="1:13">
      <c r="A9" s="27">
        <v>6447</v>
      </c>
      <c r="B9" s="37" t="s">
        <v>480</v>
      </c>
      <c r="C9" s="7">
        <v>100</v>
      </c>
      <c r="D9" s="7">
        <v>2875</v>
      </c>
      <c r="E9" s="7">
        <f t="shared" si="0"/>
        <v>287500</v>
      </c>
      <c r="F9" s="27" t="s">
        <v>611</v>
      </c>
      <c r="M9" s="41"/>
    </row>
    <row r="10" spans="1:13">
      <c r="A10" s="27">
        <v>6519</v>
      </c>
      <c r="B10" s="37" t="s">
        <v>432</v>
      </c>
      <c r="C10" s="7">
        <v>100</v>
      </c>
      <c r="D10" s="7">
        <v>2875</v>
      </c>
      <c r="E10" s="7">
        <f t="shared" si="0"/>
        <v>287500</v>
      </c>
      <c r="F10" s="27" t="s">
        <v>570</v>
      </c>
      <c r="M10" s="41"/>
    </row>
    <row r="11" spans="1:13">
      <c r="A11" s="27">
        <v>6525</v>
      </c>
      <c r="B11" s="37" t="s">
        <v>434</v>
      </c>
      <c r="C11" s="7">
        <v>100</v>
      </c>
      <c r="D11" s="7">
        <v>2875</v>
      </c>
      <c r="E11" s="7">
        <f t="shared" si="0"/>
        <v>287500</v>
      </c>
      <c r="F11" s="27" t="s">
        <v>570</v>
      </c>
      <c r="M11" s="41"/>
    </row>
    <row r="12" spans="1:13">
      <c r="A12" s="27">
        <v>6524</v>
      </c>
      <c r="B12" s="37" t="s">
        <v>437</v>
      </c>
      <c r="C12" s="7">
        <v>100</v>
      </c>
      <c r="D12" s="7">
        <v>2875</v>
      </c>
      <c r="E12" s="7">
        <f t="shared" si="0"/>
        <v>287500</v>
      </c>
      <c r="F12" s="27" t="s">
        <v>570</v>
      </c>
      <c r="M12" s="41"/>
    </row>
    <row r="13" spans="1:13">
      <c r="A13" s="27">
        <v>6539</v>
      </c>
      <c r="B13" s="37" t="s">
        <v>470</v>
      </c>
      <c r="C13" s="7">
        <v>100</v>
      </c>
      <c r="D13" s="7">
        <v>2875</v>
      </c>
      <c r="E13" s="7">
        <f t="shared" si="0"/>
        <v>287500</v>
      </c>
      <c r="F13" s="27" t="s">
        <v>570</v>
      </c>
      <c r="M13" s="41"/>
    </row>
    <row r="14" spans="1:13">
      <c r="A14" s="27">
        <v>6443</v>
      </c>
      <c r="B14" s="37" t="s">
        <v>477</v>
      </c>
      <c r="C14" s="7">
        <v>100</v>
      </c>
      <c r="D14" s="7">
        <v>2875</v>
      </c>
      <c r="E14" s="7">
        <f t="shared" si="0"/>
        <v>287500</v>
      </c>
      <c r="F14" s="27" t="s">
        <v>611</v>
      </c>
      <c r="M14" s="41"/>
    </row>
    <row r="15" spans="1:13">
      <c r="A15" s="7">
        <v>6625</v>
      </c>
      <c r="B15" s="37" t="s">
        <v>458</v>
      </c>
      <c r="C15" s="7">
        <v>100</v>
      </c>
      <c r="D15" s="7">
        <v>2875</v>
      </c>
      <c r="E15" s="7">
        <f t="shared" si="0"/>
        <v>287500</v>
      </c>
      <c r="F15" s="27" t="s">
        <v>570</v>
      </c>
      <c r="M15" s="41"/>
    </row>
    <row r="16" spans="1:13">
      <c r="A16" s="27">
        <v>6522</v>
      </c>
      <c r="B16" s="37" t="s">
        <v>433</v>
      </c>
      <c r="C16" s="7">
        <v>100</v>
      </c>
      <c r="D16" s="7">
        <v>2875</v>
      </c>
      <c r="E16" s="7">
        <f t="shared" si="0"/>
        <v>287500</v>
      </c>
      <c r="F16" s="27" t="s">
        <v>570</v>
      </c>
      <c r="M16" s="41"/>
    </row>
    <row r="17" spans="1:13">
      <c r="A17" s="7">
        <v>6667</v>
      </c>
      <c r="B17" s="37" t="s">
        <v>509</v>
      </c>
      <c r="C17" s="7">
        <v>100</v>
      </c>
      <c r="D17" s="7">
        <v>2875</v>
      </c>
      <c r="E17" s="7">
        <f t="shared" si="0"/>
        <v>287500</v>
      </c>
      <c r="F17" s="27" t="s">
        <v>570</v>
      </c>
      <c r="M17" s="41"/>
    </row>
    <row r="18" spans="1:13">
      <c r="A18" s="27">
        <v>6541</v>
      </c>
      <c r="B18" s="37" t="s">
        <v>502</v>
      </c>
      <c r="C18" s="7">
        <v>100</v>
      </c>
      <c r="D18" s="7">
        <v>2875</v>
      </c>
      <c r="E18" s="7">
        <f t="shared" si="0"/>
        <v>287500</v>
      </c>
      <c r="F18" s="27" t="s">
        <v>570</v>
      </c>
      <c r="M18" s="41"/>
    </row>
    <row r="19" spans="1:13">
      <c r="A19" s="7">
        <v>6374</v>
      </c>
      <c r="B19" s="37" t="s">
        <v>151</v>
      </c>
      <c r="C19" s="7">
        <v>100</v>
      </c>
      <c r="D19" s="7">
        <v>2875</v>
      </c>
      <c r="E19" s="7">
        <f t="shared" si="0"/>
        <v>287500</v>
      </c>
      <c r="F19" s="27" t="s">
        <v>570</v>
      </c>
      <c r="M19" s="41"/>
    </row>
    <row r="20" spans="1:13">
      <c r="A20" s="27">
        <v>6523</v>
      </c>
      <c r="B20" s="37" t="s">
        <v>436</v>
      </c>
      <c r="C20" s="7">
        <v>100</v>
      </c>
      <c r="D20" s="7">
        <v>2875</v>
      </c>
      <c r="E20" s="7">
        <f t="shared" si="0"/>
        <v>287500</v>
      </c>
      <c r="F20" s="27" t="s">
        <v>570</v>
      </c>
      <c r="M20" s="41"/>
    </row>
    <row r="21" spans="1:13">
      <c r="A21" s="27">
        <v>6448</v>
      </c>
      <c r="B21" s="37" t="s">
        <v>479</v>
      </c>
      <c r="C21" s="7">
        <v>100</v>
      </c>
      <c r="D21" s="7">
        <v>2875</v>
      </c>
      <c r="E21" s="7">
        <f t="shared" si="0"/>
        <v>287500</v>
      </c>
      <c r="F21" s="27" t="s">
        <v>611</v>
      </c>
      <c r="M21" s="41"/>
    </row>
    <row r="22" spans="1:13">
      <c r="A22" s="7">
        <v>6314</v>
      </c>
      <c r="B22" s="37" t="s">
        <v>357</v>
      </c>
      <c r="C22" s="7">
        <v>100</v>
      </c>
      <c r="D22" s="7">
        <v>2875</v>
      </c>
      <c r="E22" s="7">
        <f t="shared" si="0"/>
        <v>287500</v>
      </c>
      <c r="F22" s="27" t="s">
        <v>570</v>
      </c>
      <c r="M22" s="41"/>
    </row>
    <row r="23" spans="1:13">
      <c r="A23" s="7">
        <v>6632</v>
      </c>
      <c r="B23" s="37" t="s">
        <v>643</v>
      </c>
      <c r="C23" s="7">
        <v>100</v>
      </c>
      <c r="D23" s="7">
        <v>2875</v>
      </c>
      <c r="E23" s="7">
        <f t="shared" si="0"/>
        <v>287500</v>
      </c>
      <c r="F23" s="27" t="s">
        <v>570</v>
      </c>
      <c r="M23" s="41"/>
    </row>
    <row r="24" spans="1:13">
      <c r="A24" s="7">
        <v>6613</v>
      </c>
      <c r="B24" s="37" t="s">
        <v>556</v>
      </c>
      <c r="C24" s="7">
        <v>100</v>
      </c>
      <c r="D24" s="7">
        <v>2875</v>
      </c>
      <c r="E24" s="7">
        <f t="shared" si="0"/>
        <v>287500</v>
      </c>
      <c r="F24" s="27" t="s">
        <v>570</v>
      </c>
      <c r="M24" s="41"/>
    </row>
    <row r="25" spans="1:13">
      <c r="A25" s="27">
        <v>6536</v>
      </c>
      <c r="B25" s="37" t="s">
        <v>644</v>
      </c>
      <c r="C25" s="7">
        <v>100</v>
      </c>
      <c r="D25" s="7">
        <v>2875</v>
      </c>
      <c r="E25" s="7">
        <f t="shared" si="0"/>
        <v>287500</v>
      </c>
      <c r="F25" s="27" t="s">
        <v>570</v>
      </c>
      <c r="M25" s="41"/>
    </row>
    <row r="26" spans="1:13">
      <c r="A26" s="27">
        <v>6540</v>
      </c>
      <c r="B26" s="37" t="s">
        <v>645</v>
      </c>
      <c r="C26" s="7">
        <v>100</v>
      </c>
      <c r="D26" s="7">
        <v>2875</v>
      </c>
      <c r="E26" s="7">
        <f t="shared" si="0"/>
        <v>287500</v>
      </c>
      <c r="F26" s="27" t="s">
        <v>570</v>
      </c>
      <c r="M26" s="41"/>
    </row>
    <row r="27" spans="1:13">
      <c r="A27" s="27">
        <v>6529</v>
      </c>
      <c r="B27" s="37" t="s">
        <v>646</v>
      </c>
      <c r="C27" s="7">
        <v>100</v>
      </c>
      <c r="D27" s="7">
        <v>2875</v>
      </c>
      <c r="E27" s="7">
        <f t="shared" si="0"/>
        <v>287500</v>
      </c>
      <c r="F27" s="27" t="s">
        <v>570</v>
      </c>
      <c r="M27" s="41"/>
    </row>
    <row r="28" spans="1:13">
      <c r="A28" s="27">
        <v>6528</v>
      </c>
      <c r="B28" s="37" t="s">
        <v>647</v>
      </c>
      <c r="C28" s="7">
        <v>100</v>
      </c>
      <c r="D28" s="7">
        <v>2875</v>
      </c>
      <c r="E28" s="7">
        <f t="shared" si="0"/>
        <v>287500</v>
      </c>
      <c r="F28" s="27" t="s">
        <v>570</v>
      </c>
      <c r="M28" s="41"/>
    </row>
    <row r="29" spans="1:13">
      <c r="A29" s="7">
        <v>6610</v>
      </c>
      <c r="B29" s="37" t="s">
        <v>552</v>
      </c>
      <c r="C29" s="7">
        <v>100</v>
      </c>
      <c r="D29" s="7">
        <v>2875</v>
      </c>
      <c r="E29" s="7">
        <f t="shared" si="0"/>
        <v>287500</v>
      </c>
      <c r="F29" s="27" t="s">
        <v>570</v>
      </c>
      <c r="M29" s="41"/>
    </row>
    <row r="30" spans="1:13">
      <c r="A30" s="13"/>
      <c r="C30" s="7" t="s">
        <v>18</v>
      </c>
      <c r="D30" s="7"/>
      <c r="E30" s="8">
        <f>SUM(E5:E29)</f>
        <v>7187500</v>
      </c>
      <c r="M30" s="40"/>
    </row>
    <row r="31" spans="13:13">
      <c r="M31" s="40"/>
    </row>
    <row r="32" spans="13:13">
      <c r="M32" s="40"/>
    </row>
    <row r="33" spans="13:13">
      <c r="M33" s="40"/>
    </row>
    <row r="34" spans="13:13">
      <c r="M34" s="12"/>
    </row>
  </sheetData>
  <mergeCells count="6">
    <mergeCell ref="A1:C1"/>
    <mergeCell ref="D1:F1"/>
    <mergeCell ref="A2:C2"/>
    <mergeCell ref="D2:F2"/>
    <mergeCell ref="A3:F3"/>
    <mergeCell ref="C30:D30"/>
  </mergeCells>
  <pageMargins left="0.7" right="0.7" top="0.75" bottom="0.75" header="0.3" footer="0.3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N37" sqref="N37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648</v>
      </c>
      <c r="B1" s="1"/>
      <c r="C1" s="1"/>
      <c r="D1" s="1" t="s">
        <v>641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6606</v>
      </c>
      <c r="B5" s="37" t="s">
        <v>558</v>
      </c>
      <c r="C5" s="7">
        <v>400</v>
      </c>
      <c r="D5" s="7">
        <v>2757</v>
      </c>
      <c r="E5" s="7">
        <f t="shared" ref="E5:E30" si="0">C5*D5</f>
        <v>1102800</v>
      </c>
      <c r="F5" s="27" t="s">
        <v>570</v>
      </c>
      <c r="M5" s="41"/>
    </row>
    <row r="6" spans="1:13">
      <c r="A6" s="27">
        <v>6537</v>
      </c>
      <c r="B6" s="27" t="s">
        <v>469</v>
      </c>
      <c r="C6" s="7">
        <v>400</v>
      </c>
      <c r="D6" s="7">
        <v>2757</v>
      </c>
      <c r="E6" s="7">
        <f t="shared" si="0"/>
        <v>1102800</v>
      </c>
      <c r="F6" s="27" t="s">
        <v>570</v>
      </c>
      <c r="M6" s="41"/>
    </row>
    <row r="7" spans="1:13">
      <c r="A7" s="27">
        <v>6527</v>
      </c>
      <c r="B7" s="27" t="s">
        <v>471</v>
      </c>
      <c r="C7" s="7">
        <v>400</v>
      </c>
      <c r="D7" s="7">
        <v>2757</v>
      </c>
      <c r="E7" s="7">
        <f t="shared" si="0"/>
        <v>1102800</v>
      </c>
      <c r="F7" s="27" t="s">
        <v>570</v>
      </c>
      <c r="M7" s="41"/>
    </row>
    <row r="8" spans="1:13">
      <c r="A8" s="27">
        <v>6366</v>
      </c>
      <c r="B8" s="27" t="s">
        <v>503</v>
      </c>
      <c r="C8" s="7">
        <v>400</v>
      </c>
      <c r="D8" s="7">
        <v>2757</v>
      </c>
      <c r="E8" s="7">
        <f t="shared" si="0"/>
        <v>1102800</v>
      </c>
      <c r="F8" s="27" t="s">
        <v>570</v>
      </c>
      <c r="M8" s="41"/>
    </row>
    <row r="9" spans="1:13">
      <c r="A9" s="7">
        <v>6416</v>
      </c>
      <c r="B9" s="27" t="s">
        <v>62</v>
      </c>
      <c r="C9" s="7">
        <v>400</v>
      </c>
      <c r="D9" s="7">
        <v>2757</v>
      </c>
      <c r="E9" s="7">
        <f t="shared" si="0"/>
        <v>1102800</v>
      </c>
      <c r="F9" s="27" t="s">
        <v>570</v>
      </c>
      <c r="M9" s="41"/>
    </row>
    <row r="10" spans="1:13">
      <c r="A10" s="27">
        <v>6445</v>
      </c>
      <c r="B10" s="27" t="s">
        <v>481</v>
      </c>
      <c r="C10" s="7">
        <v>400</v>
      </c>
      <c r="D10" s="7">
        <v>2757</v>
      </c>
      <c r="E10" s="7">
        <f t="shared" si="0"/>
        <v>1102800</v>
      </c>
      <c r="F10" s="27" t="s">
        <v>611</v>
      </c>
      <c r="M10" s="41"/>
    </row>
    <row r="11" spans="1:13">
      <c r="A11" s="27">
        <v>6602</v>
      </c>
      <c r="B11" s="27" t="s">
        <v>419</v>
      </c>
      <c r="C11" s="7">
        <v>400</v>
      </c>
      <c r="D11" s="7">
        <v>2757</v>
      </c>
      <c r="E11" s="7">
        <f t="shared" si="0"/>
        <v>1102800</v>
      </c>
      <c r="F11" s="27" t="s">
        <v>570</v>
      </c>
      <c r="M11" s="41"/>
    </row>
    <row r="12" spans="1:13">
      <c r="A12" s="7">
        <v>6375</v>
      </c>
      <c r="B12" s="27" t="s">
        <v>144</v>
      </c>
      <c r="C12" s="7">
        <v>400</v>
      </c>
      <c r="D12" s="7">
        <v>2757</v>
      </c>
      <c r="E12" s="7">
        <f t="shared" si="0"/>
        <v>1102800</v>
      </c>
      <c r="F12" s="27" t="s">
        <v>570</v>
      </c>
      <c r="M12" s="41"/>
    </row>
    <row r="13" spans="1:13">
      <c r="A13" s="27">
        <v>6410</v>
      </c>
      <c r="B13" s="27" t="s">
        <v>541</v>
      </c>
      <c r="C13" s="7">
        <v>400</v>
      </c>
      <c r="D13" s="7">
        <v>2757</v>
      </c>
      <c r="E13" s="7">
        <f t="shared" si="0"/>
        <v>1102800</v>
      </c>
      <c r="F13" s="27" t="s">
        <v>570</v>
      </c>
      <c r="M13" s="41"/>
    </row>
    <row r="14" spans="1:13">
      <c r="A14" s="7">
        <v>6411</v>
      </c>
      <c r="B14" s="27" t="s">
        <v>542</v>
      </c>
      <c r="C14" s="7">
        <v>400</v>
      </c>
      <c r="D14" s="7">
        <v>2757</v>
      </c>
      <c r="E14" s="7">
        <f t="shared" si="0"/>
        <v>1102800</v>
      </c>
      <c r="F14" s="27" t="s">
        <v>570</v>
      </c>
      <c r="M14" s="41"/>
    </row>
    <row r="15" spans="1:13">
      <c r="A15" s="7">
        <v>6666</v>
      </c>
      <c r="B15" s="27" t="s">
        <v>508</v>
      </c>
      <c r="C15" s="7">
        <v>400</v>
      </c>
      <c r="D15" s="7">
        <v>2757</v>
      </c>
      <c r="E15" s="7">
        <f t="shared" si="0"/>
        <v>1102800</v>
      </c>
      <c r="F15" s="27" t="s">
        <v>570</v>
      </c>
      <c r="M15" s="41"/>
    </row>
    <row r="16" spans="1:13">
      <c r="A16" s="7">
        <v>6317</v>
      </c>
      <c r="B16" s="27" t="s">
        <v>360</v>
      </c>
      <c r="C16" s="7">
        <v>400</v>
      </c>
      <c r="D16" s="7">
        <v>2757</v>
      </c>
      <c r="E16" s="7">
        <f t="shared" si="0"/>
        <v>1102800</v>
      </c>
      <c r="F16" s="27" t="s">
        <v>570</v>
      </c>
      <c r="M16" s="41"/>
    </row>
    <row r="17" spans="1:13">
      <c r="A17" s="27">
        <v>6605</v>
      </c>
      <c r="B17" s="27" t="s">
        <v>569</v>
      </c>
      <c r="C17" s="7">
        <v>400</v>
      </c>
      <c r="D17" s="7">
        <v>2757</v>
      </c>
      <c r="E17" s="7">
        <f t="shared" si="0"/>
        <v>1102800</v>
      </c>
      <c r="F17" s="27" t="s">
        <v>570</v>
      </c>
      <c r="M17" s="41"/>
    </row>
    <row r="18" spans="1:13">
      <c r="A18" s="27">
        <v>6603</v>
      </c>
      <c r="B18" s="27" t="s">
        <v>420</v>
      </c>
      <c r="C18" s="7">
        <v>400</v>
      </c>
      <c r="D18" s="7">
        <v>2757</v>
      </c>
      <c r="E18" s="7">
        <f t="shared" si="0"/>
        <v>1102800</v>
      </c>
      <c r="F18" s="27" t="s">
        <v>570</v>
      </c>
      <c r="M18" s="41"/>
    </row>
    <row r="19" spans="1:13">
      <c r="A19" s="7">
        <v>6633</v>
      </c>
      <c r="B19" s="27" t="s">
        <v>548</v>
      </c>
      <c r="C19" s="7">
        <v>400</v>
      </c>
      <c r="D19" s="7">
        <v>2757</v>
      </c>
      <c r="E19" s="7">
        <f t="shared" si="0"/>
        <v>1102800</v>
      </c>
      <c r="F19" s="27" t="s">
        <v>570</v>
      </c>
      <c r="M19" s="41"/>
    </row>
    <row r="20" spans="1:13">
      <c r="A20" s="27">
        <v>6535</v>
      </c>
      <c r="B20" s="27" t="s">
        <v>468</v>
      </c>
      <c r="C20" s="7">
        <v>400</v>
      </c>
      <c r="D20" s="7">
        <v>2757</v>
      </c>
      <c r="E20" s="7">
        <f t="shared" si="0"/>
        <v>1102800</v>
      </c>
      <c r="F20" s="27" t="s">
        <v>570</v>
      </c>
      <c r="M20" s="41"/>
    </row>
    <row r="21" spans="1:13">
      <c r="A21" s="27">
        <v>6441</v>
      </c>
      <c r="B21" s="27" t="s">
        <v>478</v>
      </c>
      <c r="C21" s="7">
        <v>400</v>
      </c>
      <c r="D21" s="7">
        <v>2757</v>
      </c>
      <c r="E21" s="7">
        <f t="shared" si="0"/>
        <v>1102800</v>
      </c>
      <c r="F21" s="27" t="s">
        <v>570</v>
      </c>
      <c r="M21" s="41"/>
    </row>
    <row r="22" spans="1:13">
      <c r="A22" s="27">
        <v>6364</v>
      </c>
      <c r="B22" s="27" t="s">
        <v>504</v>
      </c>
      <c r="C22" s="7">
        <v>400</v>
      </c>
      <c r="D22" s="7">
        <v>2757</v>
      </c>
      <c r="E22" s="7">
        <f t="shared" si="0"/>
        <v>1102800</v>
      </c>
      <c r="F22" s="27" t="s">
        <v>570</v>
      </c>
      <c r="M22" s="41"/>
    </row>
    <row r="23" spans="1:13">
      <c r="A23" s="27">
        <v>6280</v>
      </c>
      <c r="B23" s="27" t="s">
        <v>362</v>
      </c>
      <c r="C23" s="7">
        <v>400</v>
      </c>
      <c r="D23" s="7">
        <v>2757</v>
      </c>
      <c r="E23" s="7">
        <f t="shared" si="0"/>
        <v>1102800</v>
      </c>
      <c r="F23" s="27" t="s">
        <v>570</v>
      </c>
      <c r="M23" s="41"/>
    </row>
    <row r="24" spans="1:13">
      <c r="A24" s="27">
        <v>6641</v>
      </c>
      <c r="B24" s="27" t="s">
        <v>501</v>
      </c>
      <c r="C24" s="7">
        <v>400</v>
      </c>
      <c r="D24" s="7">
        <v>2757</v>
      </c>
      <c r="E24" s="7">
        <f t="shared" si="0"/>
        <v>1102800</v>
      </c>
      <c r="F24" s="27" t="s">
        <v>570</v>
      </c>
      <c r="M24" s="41"/>
    </row>
    <row r="25" spans="1:13">
      <c r="A25" s="27">
        <v>6533</v>
      </c>
      <c r="B25" s="27" t="s">
        <v>467</v>
      </c>
      <c r="C25" s="7">
        <v>400</v>
      </c>
      <c r="D25" s="7">
        <v>2757</v>
      </c>
      <c r="E25" s="7">
        <f t="shared" si="0"/>
        <v>1102800</v>
      </c>
      <c r="F25" s="27" t="s">
        <v>570</v>
      </c>
      <c r="M25" s="41"/>
    </row>
    <row r="26" spans="1:13">
      <c r="A26" s="27">
        <v>6604</v>
      </c>
      <c r="B26" s="27" t="s">
        <v>421</v>
      </c>
      <c r="C26" s="7">
        <v>400</v>
      </c>
      <c r="D26" s="7">
        <v>2757</v>
      </c>
      <c r="E26" s="7">
        <f t="shared" si="0"/>
        <v>1102800</v>
      </c>
      <c r="F26" s="27" t="s">
        <v>570</v>
      </c>
      <c r="M26" s="41"/>
    </row>
    <row r="27" spans="1:13">
      <c r="A27" s="27">
        <v>6434</v>
      </c>
      <c r="B27" s="27" t="s">
        <v>474</v>
      </c>
      <c r="C27" s="7">
        <v>400</v>
      </c>
      <c r="D27" s="7">
        <v>2757</v>
      </c>
      <c r="E27" s="7">
        <f t="shared" si="0"/>
        <v>1102800</v>
      </c>
      <c r="F27" s="27" t="s">
        <v>611</v>
      </c>
      <c r="M27" s="41"/>
    </row>
    <row r="28" spans="1:13">
      <c r="A28" s="27">
        <v>6255</v>
      </c>
      <c r="B28" s="27" t="s">
        <v>418</v>
      </c>
      <c r="C28" s="7">
        <v>400</v>
      </c>
      <c r="D28" s="7">
        <v>2757</v>
      </c>
      <c r="E28" s="7">
        <f t="shared" si="0"/>
        <v>1102800</v>
      </c>
      <c r="F28" s="27" t="s">
        <v>570</v>
      </c>
      <c r="M28" s="41"/>
    </row>
    <row r="29" spans="1:13">
      <c r="A29" s="27">
        <v>6365</v>
      </c>
      <c r="B29" s="27" t="s">
        <v>505</v>
      </c>
      <c r="C29" s="7">
        <v>400</v>
      </c>
      <c r="D29" s="7">
        <v>2757</v>
      </c>
      <c r="E29" s="7">
        <f t="shared" si="0"/>
        <v>1102800</v>
      </c>
      <c r="F29" s="27" t="s">
        <v>570</v>
      </c>
      <c r="M29" s="41"/>
    </row>
    <row r="30" spans="1:13">
      <c r="A30" s="7">
        <v>6609</v>
      </c>
      <c r="B30" s="27" t="s">
        <v>551</v>
      </c>
      <c r="C30" s="7">
        <v>400</v>
      </c>
      <c r="D30" s="7">
        <v>2757</v>
      </c>
      <c r="E30" s="7">
        <f t="shared" si="0"/>
        <v>1102800</v>
      </c>
      <c r="F30" s="27" t="s">
        <v>570</v>
      </c>
      <c r="M30" s="40"/>
    </row>
    <row r="31" spans="1:13">
      <c r="A31" s="13"/>
      <c r="C31" s="7" t="s">
        <v>18</v>
      </c>
      <c r="D31" s="7"/>
      <c r="E31" s="8">
        <f>SUM(E5:E30)</f>
        <v>28672800</v>
      </c>
      <c r="M31" s="40"/>
    </row>
    <row r="32" spans="13:13">
      <c r="M32" s="40"/>
    </row>
    <row r="33" spans="13:13">
      <c r="M33" s="40"/>
    </row>
    <row r="34" spans="13:13">
      <c r="M34" s="12"/>
    </row>
  </sheetData>
  <mergeCells count="6">
    <mergeCell ref="A1:C1"/>
    <mergeCell ref="D1:F1"/>
    <mergeCell ref="A2:C2"/>
    <mergeCell ref="D2:F2"/>
    <mergeCell ref="A3:F3"/>
    <mergeCell ref="C31:D31"/>
  </mergeCells>
  <pageMargins left="0.7" right="0.7" top="0.75" bottom="0.75" header="0.3" footer="0.3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F31" sqref="A1:F31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649</v>
      </c>
      <c r="B1" s="1"/>
      <c r="C1" s="1"/>
      <c r="D1" s="1" t="s">
        <v>641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6439</v>
      </c>
      <c r="B5" s="37" t="s">
        <v>475</v>
      </c>
      <c r="C5" s="7">
        <v>400</v>
      </c>
      <c r="D5" s="7">
        <v>2757</v>
      </c>
      <c r="E5" s="7">
        <f t="shared" ref="E5:E29" si="0">C5*D5</f>
        <v>1102800</v>
      </c>
      <c r="F5" s="27" t="s">
        <v>611</v>
      </c>
      <c r="M5" s="41"/>
    </row>
    <row r="6" spans="1:13">
      <c r="A6" s="27">
        <v>6424</v>
      </c>
      <c r="B6" s="37" t="s">
        <v>472</v>
      </c>
      <c r="C6" s="7">
        <v>400</v>
      </c>
      <c r="D6" s="7">
        <v>2757</v>
      </c>
      <c r="E6" s="7">
        <f t="shared" si="0"/>
        <v>1102800</v>
      </c>
      <c r="F6" s="27" t="s">
        <v>611</v>
      </c>
      <c r="M6" s="41"/>
    </row>
    <row r="7" spans="1:13">
      <c r="A7" s="7">
        <v>6627</v>
      </c>
      <c r="B7" s="37" t="s">
        <v>459</v>
      </c>
      <c r="C7" s="7">
        <v>400</v>
      </c>
      <c r="D7" s="7">
        <v>2757</v>
      </c>
      <c r="E7" s="7">
        <f t="shared" si="0"/>
        <v>1102800</v>
      </c>
      <c r="F7" s="27" t="s">
        <v>570</v>
      </c>
      <c r="M7" s="41"/>
    </row>
    <row r="8" spans="1:13">
      <c r="A8" s="7">
        <v>6628</v>
      </c>
      <c r="B8" s="37" t="s">
        <v>460</v>
      </c>
      <c r="C8" s="7">
        <v>400</v>
      </c>
      <c r="D8" s="7">
        <v>2757</v>
      </c>
      <c r="E8" s="7">
        <f t="shared" si="0"/>
        <v>1102800</v>
      </c>
      <c r="F8" s="27" t="s">
        <v>570</v>
      </c>
      <c r="M8" s="41"/>
    </row>
    <row r="9" spans="1:13">
      <c r="A9" s="27">
        <v>6447</v>
      </c>
      <c r="B9" s="37" t="s">
        <v>480</v>
      </c>
      <c r="C9" s="7">
        <v>400</v>
      </c>
      <c r="D9" s="7">
        <v>2757</v>
      </c>
      <c r="E9" s="7">
        <f t="shared" si="0"/>
        <v>1102800</v>
      </c>
      <c r="F9" s="27" t="s">
        <v>611</v>
      </c>
      <c r="M9" s="41"/>
    </row>
    <row r="10" spans="1:13">
      <c r="A10" s="27">
        <v>6519</v>
      </c>
      <c r="B10" s="37" t="s">
        <v>432</v>
      </c>
      <c r="C10" s="7">
        <v>400</v>
      </c>
      <c r="D10" s="7">
        <v>2757</v>
      </c>
      <c r="E10" s="7">
        <f t="shared" si="0"/>
        <v>1102800</v>
      </c>
      <c r="F10" s="27" t="s">
        <v>570</v>
      </c>
      <c r="M10" s="41"/>
    </row>
    <row r="11" spans="1:13">
      <c r="A11" s="27">
        <v>6525</v>
      </c>
      <c r="B11" s="37" t="s">
        <v>434</v>
      </c>
      <c r="C11" s="7">
        <v>400</v>
      </c>
      <c r="D11" s="7">
        <v>2757</v>
      </c>
      <c r="E11" s="7">
        <f t="shared" si="0"/>
        <v>1102800</v>
      </c>
      <c r="F11" s="27" t="s">
        <v>570</v>
      </c>
      <c r="M11" s="41"/>
    </row>
    <row r="12" spans="1:13">
      <c r="A12" s="27">
        <v>6524</v>
      </c>
      <c r="B12" s="37" t="s">
        <v>437</v>
      </c>
      <c r="C12" s="7">
        <v>400</v>
      </c>
      <c r="D12" s="7">
        <v>2757</v>
      </c>
      <c r="E12" s="7">
        <f t="shared" si="0"/>
        <v>1102800</v>
      </c>
      <c r="F12" s="27" t="s">
        <v>570</v>
      </c>
      <c r="M12" s="41"/>
    </row>
    <row r="13" spans="1:13">
      <c r="A13" s="27">
        <v>6539</v>
      </c>
      <c r="B13" s="37" t="s">
        <v>470</v>
      </c>
      <c r="C13" s="7">
        <v>400</v>
      </c>
      <c r="D13" s="7">
        <v>2757</v>
      </c>
      <c r="E13" s="7">
        <f t="shared" si="0"/>
        <v>1102800</v>
      </c>
      <c r="F13" s="27" t="s">
        <v>570</v>
      </c>
      <c r="M13" s="41"/>
    </row>
    <row r="14" spans="1:13">
      <c r="A14" s="27">
        <v>6443</v>
      </c>
      <c r="B14" s="37" t="s">
        <v>477</v>
      </c>
      <c r="C14" s="7">
        <v>400</v>
      </c>
      <c r="D14" s="7">
        <v>2757</v>
      </c>
      <c r="E14" s="7">
        <f t="shared" si="0"/>
        <v>1102800</v>
      </c>
      <c r="F14" s="27" t="s">
        <v>611</v>
      </c>
      <c r="M14" s="41"/>
    </row>
    <row r="15" spans="1:13">
      <c r="A15" s="7">
        <v>6625</v>
      </c>
      <c r="B15" s="37" t="s">
        <v>458</v>
      </c>
      <c r="C15" s="7">
        <v>400</v>
      </c>
      <c r="D15" s="7">
        <v>2757</v>
      </c>
      <c r="E15" s="7">
        <f t="shared" si="0"/>
        <v>1102800</v>
      </c>
      <c r="F15" s="27" t="s">
        <v>570</v>
      </c>
      <c r="M15" s="41"/>
    </row>
    <row r="16" spans="1:13">
      <c r="A16" s="27">
        <v>6522</v>
      </c>
      <c r="B16" s="37" t="s">
        <v>433</v>
      </c>
      <c r="C16" s="7">
        <v>400</v>
      </c>
      <c r="D16" s="7">
        <v>2757</v>
      </c>
      <c r="E16" s="7">
        <f t="shared" si="0"/>
        <v>1102800</v>
      </c>
      <c r="F16" s="27" t="s">
        <v>570</v>
      </c>
      <c r="M16" s="41"/>
    </row>
    <row r="17" spans="1:13">
      <c r="A17" s="7">
        <v>6667</v>
      </c>
      <c r="B17" s="37" t="s">
        <v>509</v>
      </c>
      <c r="C17" s="7">
        <v>400</v>
      </c>
      <c r="D17" s="7">
        <v>2757</v>
      </c>
      <c r="E17" s="7">
        <f t="shared" si="0"/>
        <v>1102800</v>
      </c>
      <c r="F17" s="27" t="s">
        <v>570</v>
      </c>
      <c r="M17" s="41"/>
    </row>
    <row r="18" spans="1:13">
      <c r="A18" s="27">
        <v>6541</v>
      </c>
      <c r="B18" s="37" t="s">
        <v>502</v>
      </c>
      <c r="C18" s="7">
        <v>400</v>
      </c>
      <c r="D18" s="7">
        <v>2757</v>
      </c>
      <c r="E18" s="7">
        <f t="shared" si="0"/>
        <v>1102800</v>
      </c>
      <c r="F18" s="27" t="s">
        <v>570</v>
      </c>
      <c r="M18" s="41"/>
    </row>
    <row r="19" spans="1:13">
      <c r="A19" s="7">
        <v>6374</v>
      </c>
      <c r="B19" s="37" t="s">
        <v>151</v>
      </c>
      <c r="C19" s="7">
        <v>400</v>
      </c>
      <c r="D19" s="7">
        <v>2757</v>
      </c>
      <c r="E19" s="7">
        <f t="shared" si="0"/>
        <v>1102800</v>
      </c>
      <c r="F19" s="27" t="s">
        <v>570</v>
      </c>
      <c r="M19" s="41"/>
    </row>
    <row r="20" spans="1:13">
      <c r="A20" s="27">
        <v>6523</v>
      </c>
      <c r="B20" s="37" t="s">
        <v>436</v>
      </c>
      <c r="C20" s="7">
        <v>400</v>
      </c>
      <c r="D20" s="7">
        <v>2757</v>
      </c>
      <c r="E20" s="7">
        <f t="shared" si="0"/>
        <v>1102800</v>
      </c>
      <c r="F20" s="27" t="s">
        <v>570</v>
      </c>
      <c r="M20" s="41"/>
    </row>
    <row r="21" spans="1:13">
      <c r="A21" s="27">
        <v>6448</v>
      </c>
      <c r="B21" s="37" t="s">
        <v>479</v>
      </c>
      <c r="C21" s="7">
        <v>400</v>
      </c>
      <c r="D21" s="7">
        <v>2757</v>
      </c>
      <c r="E21" s="7">
        <f t="shared" si="0"/>
        <v>1102800</v>
      </c>
      <c r="F21" s="27" t="s">
        <v>611</v>
      </c>
      <c r="M21" s="41"/>
    </row>
    <row r="22" spans="1:13">
      <c r="A22" s="7">
        <v>6314</v>
      </c>
      <c r="B22" s="37" t="s">
        <v>357</v>
      </c>
      <c r="C22" s="7">
        <v>400</v>
      </c>
      <c r="D22" s="7">
        <v>2757</v>
      </c>
      <c r="E22" s="7">
        <f t="shared" si="0"/>
        <v>1102800</v>
      </c>
      <c r="F22" s="27" t="s">
        <v>570</v>
      </c>
      <c r="M22" s="41"/>
    </row>
    <row r="23" spans="1:13">
      <c r="A23" s="7">
        <v>6632</v>
      </c>
      <c r="B23" s="37" t="s">
        <v>643</v>
      </c>
      <c r="C23" s="7">
        <v>400</v>
      </c>
      <c r="D23" s="7">
        <v>2757</v>
      </c>
      <c r="E23" s="7">
        <f t="shared" si="0"/>
        <v>1102800</v>
      </c>
      <c r="F23" s="27" t="s">
        <v>570</v>
      </c>
      <c r="M23" s="41"/>
    </row>
    <row r="24" spans="1:13">
      <c r="A24" s="7">
        <v>6613</v>
      </c>
      <c r="B24" s="37" t="s">
        <v>556</v>
      </c>
      <c r="C24" s="7">
        <v>400</v>
      </c>
      <c r="D24" s="7">
        <v>2757</v>
      </c>
      <c r="E24" s="7">
        <f t="shared" si="0"/>
        <v>1102800</v>
      </c>
      <c r="F24" s="27" t="s">
        <v>570</v>
      </c>
      <c r="M24" s="41"/>
    </row>
    <row r="25" spans="1:13">
      <c r="A25" s="27">
        <v>6536</v>
      </c>
      <c r="B25" s="37" t="s">
        <v>644</v>
      </c>
      <c r="C25" s="7">
        <v>400</v>
      </c>
      <c r="D25" s="7">
        <v>2757</v>
      </c>
      <c r="E25" s="7">
        <f t="shared" si="0"/>
        <v>1102800</v>
      </c>
      <c r="F25" s="27" t="s">
        <v>570</v>
      </c>
      <c r="M25" s="41"/>
    </row>
    <row r="26" spans="1:13">
      <c r="A26" s="27">
        <v>6540</v>
      </c>
      <c r="B26" s="37" t="s">
        <v>645</v>
      </c>
      <c r="C26" s="7">
        <v>400</v>
      </c>
      <c r="D26" s="7">
        <v>2757</v>
      </c>
      <c r="E26" s="7">
        <f t="shared" si="0"/>
        <v>1102800</v>
      </c>
      <c r="F26" s="27" t="s">
        <v>570</v>
      </c>
      <c r="M26" s="41"/>
    </row>
    <row r="27" spans="1:13">
      <c r="A27" s="27">
        <v>6529</v>
      </c>
      <c r="B27" s="37" t="s">
        <v>646</v>
      </c>
      <c r="C27" s="7">
        <v>400</v>
      </c>
      <c r="D27" s="7">
        <v>2757</v>
      </c>
      <c r="E27" s="7">
        <f t="shared" si="0"/>
        <v>1102800</v>
      </c>
      <c r="F27" s="27" t="s">
        <v>570</v>
      </c>
      <c r="M27" s="41"/>
    </row>
    <row r="28" spans="1:13">
      <c r="A28" s="27">
        <v>6528</v>
      </c>
      <c r="B28" s="37" t="s">
        <v>647</v>
      </c>
      <c r="C28" s="7">
        <v>400</v>
      </c>
      <c r="D28" s="7">
        <v>2757</v>
      </c>
      <c r="E28" s="7">
        <f t="shared" si="0"/>
        <v>1102800</v>
      </c>
      <c r="F28" s="27" t="s">
        <v>570</v>
      </c>
      <c r="M28" s="41"/>
    </row>
    <row r="29" spans="1:13">
      <c r="A29" s="7">
        <v>6610</v>
      </c>
      <c r="B29" s="37" t="s">
        <v>552</v>
      </c>
      <c r="C29" s="7">
        <v>400</v>
      </c>
      <c r="D29" s="7">
        <v>2757</v>
      </c>
      <c r="E29" s="7">
        <f t="shared" si="0"/>
        <v>1102800</v>
      </c>
      <c r="F29" s="27" t="s">
        <v>570</v>
      </c>
      <c r="M29" s="41"/>
    </row>
    <row r="30" spans="1:13">
      <c r="A30" s="13"/>
      <c r="C30" s="7" t="s">
        <v>18</v>
      </c>
      <c r="D30" s="7"/>
      <c r="E30" s="7">
        <f>SUM(E5:E29)</f>
        <v>27570000</v>
      </c>
      <c r="M30" s="40"/>
    </row>
    <row r="31" spans="1:13">
      <c r="A31" s="13"/>
      <c r="B31" s="12"/>
      <c r="C31" s="13"/>
      <c r="D31" s="13"/>
      <c r="E31" s="13"/>
      <c r="M31" s="40"/>
    </row>
    <row r="32" spans="13:13">
      <c r="M32" s="40"/>
    </row>
    <row r="33" spans="13:13">
      <c r="M33" s="40"/>
    </row>
    <row r="34" spans="13:13">
      <c r="M34" s="12"/>
    </row>
  </sheetData>
  <mergeCells count="7">
    <mergeCell ref="A1:C1"/>
    <mergeCell ref="D1:F1"/>
    <mergeCell ref="A2:C2"/>
    <mergeCell ref="D2:F2"/>
    <mergeCell ref="A3:F3"/>
    <mergeCell ref="C30:D30"/>
    <mergeCell ref="C31:D31"/>
  </mergeCells>
  <pageMargins left="0.7" right="0.7" top="0.75" bottom="0.75" header="0.3" footer="0.3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H6" sqref="H6"/>
    </sheetView>
  </sheetViews>
  <sheetFormatPr defaultColWidth="9" defaultRowHeight="14.25"/>
  <cols>
    <col min="2" max="2" width="10.375" customWidth="1"/>
    <col min="5" max="5" width="12.4416666666667" customWidth="1"/>
    <col min="6" max="6" width="10.6666666666667" customWidth="1"/>
  </cols>
  <sheetData>
    <row r="1" spans="1:6">
      <c r="A1" s="1" t="s">
        <v>649</v>
      </c>
      <c r="B1" s="1"/>
      <c r="C1" s="1"/>
      <c r="D1" s="1" t="s">
        <v>641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/>
      <c r="B3" s="6"/>
      <c r="C3" s="6"/>
      <c r="D3" s="6"/>
      <c r="E3" s="10"/>
      <c r="F3" s="11"/>
    </row>
    <row r="4" spans="1:6">
      <c r="A4" s="7"/>
      <c r="B4" s="7"/>
      <c r="C4" s="7"/>
      <c r="D4" s="7"/>
      <c r="E4" s="7"/>
      <c r="F4" s="7"/>
    </row>
    <row r="5" spans="1:13">
      <c r="A5" s="7"/>
      <c r="B5" s="37"/>
      <c r="C5" s="7"/>
      <c r="D5" s="7"/>
      <c r="E5" s="7"/>
      <c r="F5" s="27"/>
      <c r="M5" s="41"/>
    </row>
    <row r="6" spans="1:13">
      <c r="A6" s="27"/>
      <c r="B6" s="37"/>
      <c r="C6" s="7"/>
      <c r="D6" s="7"/>
      <c r="E6" s="7"/>
      <c r="F6" s="27"/>
      <c r="M6" s="41"/>
    </row>
    <row r="7" spans="1:13">
      <c r="A7" s="7"/>
      <c r="B7" s="37"/>
      <c r="C7" s="7"/>
      <c r="D7" s="7"/>
      <c r="E7" s="7"/>
      <c r="F7" s="27"/>
      <c r="M7" s="41"/>
    </row>
    <row r="8" spans="1:13">
      <c r="A8" s="7"/>
      <c r="B8" s="37"/>
      <c r="C8" s="7"/>
      <c r="D8" s="7"/>
      <c r="E8" s="7"/>
      <c r="F8" s="27"/>
      <c r="M8" s="41"/>
    </row>
    <row r="9" spans="1:13">
      <c r="A9" s="27"/>
      <c r="B9" s="37"/>
      <c r="C9" s="7"/>
      <c r="D9" s="7"/>
      <c r="E9" s="7"/>
      <c r="F9" s="27"/>
      <c r="M9" s="41"/>
    </row>
    <row r="10" spans="1:13">
      <c r="A10" s="27"/>
      <c r="B10" s="37"/>
      <c r="C10" s="7"/>
      <c r="D10" s="7"/>
      <c r="E10" s="7"/>
      <c r="F10" s="27"/>
      <c r="M10" s="41"/>
    </row>
    <row r="11" spans="1:13">
      <c r="A11" s="27"/>
      <c r="B11" s="37"/>
      <c r="C11" s="7"/>
      <c r="D11" s="7"/>
      <c r="E11" s="7"/>
      <c r="F11" s="27"/>
      <c r="M11" s="41"/>
    </row>
    <row r="12" spans="1:13">
      <c r="A12" s="27"/>
      <c r="B12" s="37"/>
      <c r="C12" s="7"/>
      <c r="D12" s="7"/>
      <c r="E12" s="7"/>
      <c r="F12" s="27"/>
      <c r="M12" s="41"/>
    </row>
    <row r="13" spans="1:13">
      <c r="A13" s="27"/>
      <c r="B13" s="37"/>
      <c r="C13" s="7"/>
      <c r="D13" s="7"/>
      <c r="E13" s="7"/>
      <c r="F13" s="27"/>
      <c r="M13" s="41"/>
    </row>
    <row r="14" spans="1:13">
      <c r="A14" s="27"/>
      <c r="B14" s="37"/>
      <c r="C14" s="7"/>
      <c r="D14" s="7"/>
      <c r="E14" s="7"/>
      <c r="F14" s="27"/>
      <c r="M14" s="41"/>
    </row>
    <row r="15" spans="1:13">
      <c r="A15" s="7"/>
      <c r="B15" s="37"/>
      <c r="C15" s="7"/>
      <c r="D15" s="7"/>
      <c r="E15" s="7"/>
      <c r="F15" s="27"/>
      <c r="M15" s="41"/>
    </row>
    <row r="16" spans="1:13">
      <c r="A16" s="27"/>
      <c r="B16" s="37"/>
      <c r="C16" s="7"/>
      <c r="D16" s="7"/>
      <c r="E16" s="7"/>
      <c r="F16" s="27"/>
      <c r="M16" s="41"/>
    </row>
    <row r="17" spans="1:13">
      <c r="A17" s="7"/>
      <c r="B17" s="37"/>
      <c r="C17" s="7"/>
      <c r="D17" s="7"/>
      <c r="E17" s="7"/>
      <c r="F17" s="27"/>
      <c r="M17" s="41"/>
    </row>
    <row r="18" spans="1:13">
      <c r="A18" s="27"/>
      <c r="B18" s="37"/>
      <c r="C18" s="7"/>
      <c r="D18" s="7"/>
      <c r="E18" s="7"/>
      <c r="F18" s="27"/>
      <c r="M18" s="41"/>
    </row>
    <row r="19" spans="1:13">
      <c r="A19" s="7"/>
      <c r="B19" s="37"/>
      <c r="C19" s="7"/>
      <c r="D19" s="7"/>
      <c r="E19" s="7"/>
      <c r="F19" s="27"/>
      <c r="M19" s="41"/>
    </row>
    <row r="20" spans="1:13">
      <c r="A20" s="27"/>
      <c r="B20" s="37"/>
      <c r="C20" s="7"/>
      <c r="D20" s="7"/>
      <c r="E20" s="7"/>
      <c r="F20" s="27"/>
      <c r="M20" s="41"/>
    </row>
    <row r="21" spans="1:13">
      <c r="A21" s="27"/>
      <c r="B21" s="37"/>
      <c r="C21" s="7"/>
      <c r="D21" s="7"/>
      <c r="E21" s="7"/>
      <c r="F21" s="27"/>
      <c r="M21" s="41"/>
    </row>
    <row r="22" spans="1:13">
      <c r="A22" s="7"/>
      <c r="B22" s="37"/>
      <c r="C22" s="7"/>
      <c r="D22" s="7"/>
      <c r="E22" s="7"/>
      <c r="F22" s="27"/>
      <c r="M22" s="41"/>
    </row>
    <row r="23" spans="1:13">
      <c r="A23" s="7"/>
      <c r="B23" s="37"/>
      <c r="C23" s="7"/>
      <c r="D23" s="7"/>
      <c r="E23" s="7"/>
      <c r="F23" s="27"/>
      <c r="M23" s="41"/>
    </row>
    <row r="24" spans="1:13">
      <c r="A24" s="7"/>
      <c r="B24" s="37"/>
      <c r="C24" s="7"/>
      <c r="D24" s="7"/>
      <c r="E24" s="7"/>
      <c r="F24" s="27"/>
      <c r="M24" s="41"/>
    </row>
    <row r="25" spans="1:13">
      <c r="A25" s="27"/>
      <c r="B25" s="37"/>
      <c r="C25" s="7"/>
      <c r="D25" s="7"/>
      <c r="E25" s="7"/>
      <c r="F25" s="27"/>
      <c r="M25" s="41"/>
    </row>
    <row r="26" spans="1:13">
      <c r="A26" s="27"/>
      <c r="B26" s="37"/>
      <c r="C26" s="7"/>
      <c r="D26" s="7"/>
      <c r="E26" s="7"/>
      <c r="F26" s="27"/>
      <c r="M26" s="41"/>
    </row>
    <row r="27" spans="1:13">
      <c r="A27" s="27"/>
      <c r="B27" s="37"/>
      <c r="C27" s="7"/>
      <c r="D27" s="7"/>
      <c r="E27" s="7"/>
      <c r="F27" s="27"/>
      <c r="M27" s="41"/>
    </row>
    <row r="28" spans="1:13">
      <c r="A28" s="27"/>
      <c r="B28" s="37"/>
      <c r="C28" s="7"/>
      <c r="D28" s="7"/>
      <c r="E28" s="7"/>
      <c r="F28" s="27"/>
      <c r="M28" s="41"/>
    </row>
    <row r="29" spans="1:13">
      <c r="A29" s="7"/>
      <c r="B29" s="37"/>
      <c r="C29" s="7"/>
      <c r="D29" s="7"/>
      <c r="E29" s="7"/>
      <c r="F29" s="27"/>
      <c r="M29" s="41"/>
    </row>
    <row r="30" spans="1:13">
      <c r="A30" s="13"/>
      <c r="C30" s="7"/>
      <c r="D30" s="7"/>
      <c r="E30" s="7"/>
      <c r="M30" s="40"/>
    </row>
    <row r="31" spans="1:13">
      <c r="A31" s="13"/>
      <c r="B31" s="12"/>
      <c r="C31" s="13"/>
      <c r="D31" s="13"/>
      <c r="E31" s="13"/>
      <c r="M31" s="40"/>
    </row>
    <row r="32" spans="13:13">
      <c r="M32" s="40"/>
    </row>
    <row r="33" spans="13:13">
      <c r="M33" s="40"/>
    </row>
    <row r="34" spans="13:13">
      <c r="M34" s="12"/>
    </row>
  </sheetData>
  <mergeCells count="7">
    <mergeCell ref="A1:C1"/>
    <mergeCell ref="D1:F1"/>
    <mergeCell ref="A2:C2"/>
    <mergeCell ref="D2:F2"/>
    <mergeCell ref="A3:F3"/>
    <mergeCell ref="C30:D30"/>
    <mergeCell ref="C31:D31"/>
  </mergeCells>
  <pageMargins left="0.7" right="0.7" top="0.75" bottom="0.75" header="0.3" footer="0.3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I21" sqref="I2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650</v>
      </c>
      <c r="B1" s="1"/>
      <c r="C1" s="1"/>
      <c r="D1" s="1" t="s">
        <v>651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6226</v>
      </c>
      <c r="B5" t="s">
        <v>316</v>
      </c>
      <c r="C5" s="7">
        <v>400</v>
      </c>
      <c r="D5" s="7">
        <v>1.2</v>
      </c>
      <c r="E5" s="7">
        <f>C5*D5</f>
        <v>480</v>
      </c>
      <c r="F5" s="27" t="s">
        <v>652</v>
      </c>
      <c r="M5" s="41"/>
    </row>
    <row r="6" spans="1:13">
      <c r="A6" s="7">
        <v>6451</v>
      </c>
      <c r="B6" t="s">
        <v>386</v>
      </c>
      <c r="C6" s="7">
        <v>400</v>
      </c>
      <c r="D6" s="7">
        <v>1.2</v>
      </c>
      <c r="E6" s="7">
        <f t="shared" ref="E6:E15" si="0">C6*D6</f>
        <v>480</v>
      </c>
      <c r="F6" s="27" t="s">
        <v>652</v>
      </c>
      <c r="M6" s="41"/>
    </row>
    <row r="7" spans="1:13">
      <c r="A7" s="7">
        <v>6450</v>
      </c>
      <c r="B7" t="s">
        <v>385</v>
      </c>
      <c r="C7" s="7">
        <v>380</v>
      </c>
      <c r="D7" s="7">
        <v>1.2</v>
      </c>
      <c r="E7" s="7">
        <f t="shared" si="0"/>
        <v>456</v>
      </c>
      <c r="F7" s="27" t="s">
        <v>652</v>
      </c>
      <c r="M7" s="41"/>
    </row>
    <row r="8" spans="1:13">
      <c r="A8" s="7">
        <v>6601</v>
      </c>
      <c r="B8" s="28" t="s">
        <v>36</v>
      </c>
      <c r="C8" s="7">
        <v>300</v>
      </c>
      <c r="D8" s="7">
        <v>1.2</v>
      </c>
      <c r="E8" s="7">
        <f t="shared" si="0"/>
        <v>360</v>
      </c>
      <c r="F8" s="27" t="s">
        <v>653</v>
      </c>
      <c r="M8" s="41"/>
    </row>
    <row r="9" spans="1:13">
      <c r="A9" s="7">
        <v>6600</v>
      </c>
      <c r="B9" t="s">
        <v>74</v>
      </c>
      <c r="C9" s="7">
        <v>260</v>
      </c>
      <c r="D9" s="7">
        <v>1.2</v>
      </c>
      <c r="E9" s="7">
        <f t="shared" si="0"/>
        <v>312</v>
      </c>
      <c r="F9" s="27" t="s">
        <v>653</v>
      </c>
      <c r="M9" s="41"/>
    </row>
    <row r="10" spans="1:13">
      <c r="A10" s="27">
        <v>6187</v>
      </c>
      <c r="B10" t="s">
        <v>410</v>
      </c>
      <c r="C10" s="7">
        <v>560</v>
      </c>
      <c r="D10" s="7">
        <v>1.2</v>
      </c>
      <c r="E10" s="7">
        <f t="shared" si="0"/>
        <v>672</v>
      </c>
      <c r="F10" s="27" t="s">
        <v>654</v>
      </c>
      <c r="M10" s="41"/>
    </row>
    <row r="11" spans="1:13">
      <c r="A11" s="7">
        <v>6578</v>
      </c>
      <c r="B11" t="s">
        <v>40</v>
      </c>
      <c r="C11" s="7">
        <v>550</v>
      </c>
      <c r="D11" s="7">
        <v>1.2</v>
      </c>
      <c r="E11" s="7">
        <f t="shared" si="0"/>
        <v>660</v>
      </c>
      <c r="F11" s="27" t="s">
        <v>655</v>
      </c>
      <c r="M11" s="41"/>
    </row>
    <row r="12" spans="1:13">
      <c r="A12" s="27">
        <v>6339</v>
      </c>
      <c r="B12" t="s">
        <v>381</v>
      </c>
      <c r="C12" s="7">
        <v>433</v>
      </c>
      <c r="D12" s="7">
        <v>1.2</v>
      </c>
      <c r="E12" s="7">
        <f t="shared" si="0"/>
        <v>519.6</v>
      </c>
      <c r="F12" s="27" t="s">
        <v>656</v>
      </c>
      <c r="M12" s="41"/>
    </row>
    <row r="13" spans="1:13">
      <c r="A13" s="7">
        <v>6588</v>
      </c>
      <c r="B13" s="37" t="s">
        <v>21</v>
      </c>
      <c r="C13" s="7">
        <v>600</v>
      </c>
      <c r="D13" s="7">
        <v>1.2</v>
      </c>
      <c r="E13" s="7">
        <f t="shared" si="0"/>
        <v>720</v>
      </c>
      <c r="F13" s="27" t="s">
        <v>655</v>
      </c>
      <c r="M13" s="41"/>
    </row>
    <row r="14" spans="1:13">
      <c r="A14" s="7">
        <v>6580</v>
      </c>
      <c r="B14" s="37" t="s">
        <v>35</v>
      </c>
      <c r="C14" s="7">
        <v>560</v>
      </c>
      <c r="D14" s="7">
        <v>1.2</v>
      </c>
      <c r="E14" s="7">
        <f t="shared" si="0"/>
        <v>672</v>
      </c>
      <c r="F14" s="27" t="s">
        <v>655</v>
      </c>
      <c r="M14" s="41"/>
    </row>
    <row r="15" spans="1:13">
      <c r="A15" s="13"/>
      <c r="C15" s="7" t="s">
        <v>18</v>
      </c>
      <c r="D15" s="7"/>
      <c r="E15" s="7">
        <f>SUM(E5:E14)</f>
        <v>5331.6</v>
      </c>
      <c r="M15" s="40"/>
    </row>
    <row r="16" spans="1:13">
      <c r="A16" s="13"/>
      <c r="B16" s="12"/>
      <c r="C16" s="13"/>
      <c r="D16" s="13"/>
      <c r="E16" s="13"/>
      <c r="M16" s="40"/>
    </row>
    <row r="17" spans="13:13">
      <c r="M17" s="40"/>
    </row>
    <row r="18" spans="13:13">
      <c r="M18" s="40"/>
    </row>
    <row r="19" spans="13:13">
      <c r="M19" s="12"/>
    </row>
  </sheetData>
  <mergeCells count="7">
    <mergeCell ref="A1:C1"/>
    <mergeCell ref="D1:F1"/>
    <mergeCell ref="A2:C2"/>
    <mergeCell ref="D2:F2"/>
    <mergeCell ref="A3:F3"/>
    <mergeCell ref="C15:D15"/>
    <mergeCell ref="C16:D16"/>
  </mergeCells>
  <pageMargins left="0.7" right="0.7" top="0.75" bottom="0.75" header="0.3" footer="0.3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F28" sqref="F2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657</v>
      </c>
      <c r="B1" s="1"/>
      <c r="C1" s="1"/>
      <c r="D1" s="1" t="s">
        <v>651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6225</v>
      </c>
      <c r="B5" s="22" t="s">
        <v>384</v>
      </c>
      <c r="C5" s="7">
        <v>400</v>
      </c>
      <c r="D5" s="7">
        <v>1.2</v>
      </c>
      <c r="E5" s="7">
        <f>C5*D5</f>
        <v>480</v>
      </c>
      <c r="F5" s="27" t="s">
        <v>652</v>
      </c>
      <c r="M5" s="41"/>
    </row>
    <row r="6" spans="1:13">
      <c r="A6" s="13"/>
      <c r="C6" s="7" t="s">
        <v>18</v>
      </c>
      <c r="D6" s="7"/>
      <c r="E6" s="7">
        <f>SUM(E5:E5)</f>
        <v>480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O26" sqref="O2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658</v>
      </c>
      <c r="B1" s="1"/>
      <c r="C1" s="1"/>
      <c r="D1" s="1" t="s">
        <v>651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6577</v>
      </c>
      <c r="B5" s="22" t="s">
        <v>44</v>
      </c>
      <c r="C5" s="7">
        <v>560</v>
      </c>
      <c r="D5" s="7">
        <v>1.2</v>
      </c>
      <c r="E5" s="7">
        <f>C5*D5</f>
        <v>672</v>
      </c>
      <c r="F5" s="27" t="s">
        <v>655</v>
      </c>
      <c r="M5" s="41"/>
    </row>
    <row r="6" spans="1:13">
      <c r="A6" s="13"/>
      <c r="C6" s="7" t="s">
        <v>18</v>
      </c>
      <c r="D6" s="7"/>
      <c r="E6" s="7">
        <f>SUM(E5:E5)</f>
        <v>672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K12" sqref="K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659</v>
      </c>
      <c r="B1" s="1"/>
      <c r="C1" s="1"/>
      <c r="D1" s="1" t="s">
        <v>651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6514</v>
      </c>
      <c r="B5" s="22" t="s">
        <v>361</v>
      </c>
      <c r="C5" s="7">
        <v>100</v>
      </c>
      <c r="D5" s="7">
        <v>2875</v>
      </c>
      <c r="E5" s="7">
        <f>C5*D5</f>
        <v>287500</v>
      </c>
      <c r="F5" s="27" t="s">
        <v>570</v>
      </c>
      <c r="M5" s="41"/>
    </row>
    <row r="6" spans="1:13">
      <c r="A6" s="13"/>
      <c r="C6" s="7" t="s">
        <v>18</v>
      </c>
      <c r="D6" s="7"/>
      <c r="E6" s="7">
        <f>SUM(E5:E5)</f>
        <v>287500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G10" sqref="G1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660</v>
      </c>
      <c r="B1" s="1"/>
      <c r="C1" s="1"/>
      <c r="D1" s="1" t="s">
        <v>651</v>
      </c>
      <c r="E1" s="1"/>
      <c r="F1" s="1"/>
    </row>
    <row r="2" spans="1:6">
      <c r="A2" s="2" t="s">
        <v>76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6506</v>
      </c>
      <c r="B5" s="27" t="s">
        <v>661</v>
      </c>
      <c r="C5" s="7">
        <v>90</v>
      </c>
      <c r="D5" s="7">
        <v>1.2</v>
      </c>
      <c r="E5" s="7">
        <f>C5*D5</f>
        <v>108</v>
      </c>
      <c r="F5" s="27" t="s">
        <v>570</v>
      </c>
      <c r="M5" s="41"/>
    </row>
    <row r="6" spans="1:13">
      <c r="A6" s="7">
        <v>6505</v>
      </c>
      <c r="B6" s="27" t="s">
        <v>662</v>
      </c>
      <c r="C6" s="7">
        <v>90</v>
      </c>
      <c r="D6" s="7">
        <v>1.2</v>
      </c>
      <c r="E6" s="7">
        <f>C6*D6</f>
        <v>108</v>
      </c>
      <c r="F6" s="27" t="s">
        <v>570</v>
      </c>
      <c r="M6" s="41"/>
    </row>
    <row r="7" spans="1:13">
      <c r="A7" s="13"/>
      <c r="C7" s="7" t="s">
        <v>18</v>
      </c>
      <c r="D7" s="7"/>
      <c r="E7" s="7">
        <f>SUM(E5:E6)</f>
        <v>216</v>
      </c>
      <c r="M7" s="40"/>
    </row>
    <row r="8" spans="1:13">
      <c r="A8" s="13"/>
      <c r="B8" s="12"/>
      <c r="C8" s="13"/>
      <c r="D8" s="13"/>
      <c r="E8" s="13"/>
      <c r="M8" s="40"/>
    </row>
    <row r="9" spans="13:13">
      <c r="M9" s="40"/>
    </row>
    <row r="10" spans="13:13">
      <c r="M10" s="40"/>
    </row>
    <row r="11" spans="13:13">
      <c r="M11" s="12"/>
    </row>
  </sheetData>
  <mergeCells count="7">
    <mergeCell ref="A1:C1"/>
    <mergeCell ref="D1:F1"/>
    <mergeCell ref="A2:C2"/>
    <mergeCell ref="D2:F2"/>
    <mergeCell ref="A3:F3"/>
    <mergeCell ref="C7:D7"/>
    <mergeCell ref="C8:D8"/>
  </mergeCells>
  <pageMargins left="0.7" right="0.7" top="0.75" bottom="0.75" header="0.3" footer="0.3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I24" sqref="I2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663</v>
      </c>
      <c r="B1" s="1"/>
      <c r="C1" s="1"/>
      <c r="D1" s="1" t="s">
        <v>651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6599</v>
      </c>
      <c r="B5" s="27" t="s">
        <v>182</v>
      </c>
      <c r="C5" s="7">
        <v>260</v>
      </c>
      <c r="D5" s="7">
        <v>1.2</v>
      </c>
      <c r="E5" s="7">
        <f>C5*D5</f>
        <v>312</v>
      </c>
      <c r="F5" s="27" t="s">
        <v>653</v>
      </c>
      <c r="M5" s="41"/>
    </row>
    <row r="6" spans="1:13">
      <c r="A6" s="7">
        <v>6485</v>
      </c>
      <c r="B6" s="27" t="s">
        <v>27</v>
      </c>
      <c r="C6" s="7">
        <v>560</v>
      </c>
      <c r="D6" s="7">
        <v>1.2</v>
      </c>
      <c r="E6" s="7">
        <f>C6*D6</f>
        <v>672</v>
      </c>
      <c r="F6" s="27" t="s">
        <v>655</v>
      </c>
      <c r="M6" s="41"/>
    </row>
    <row r="7" spans="1:13">
      <c r="A7" s="13"/>
      <c r="C7" s="7" t="s">
        <v>18</v>
      </c>
      <c r="D7" s="7"/>
      <c r="E7" s="7">
        <f>SUM(E5:E6)</f>
        <v>984</v>
      </c>
      <c r="M7" s="40"/>
    </row>
    <row r="8" spans="1:13">
      <c r="A8" s="13"/>
      <c r="B8" s="12"/>
      <c r="C8" s="13"/>
      <c r="D8" s="13"/>
      <c r="E8" s="13"/>
      <c r="M8" s="40"/>
    </row>
    <row r="9" spans="13:13">
      <c r="M9" s="40"/>
    </row>
    <row r="10" spans="13:13">
      <c r="M10" s="40"/>
    </row>
    <row r="11" spans="13:13">
      <c r="M11" s="12"/>
    </row>
  </sheetData>
  <mergeCells count="7">
    <mergeCell ref="A1:C1"/>
    <mergeCell ref="D1:F1"/>
    <mergeCell ref="A2:C2"/>
    <mergeCell ref="D2:F2"/>
    <mergeCell ref="A3:F3"/>
    <mergeCell ref="C7:D7"/>
    <mergeCell ref="C8:D8"/>
  </mergeCells>
  <pageMargins left="0.7" right="0.7" top="0.75" bottom="0.75" header="0.3" footer="0.3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F16" sqref="F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664</v>
      </c>
      <c r="B1" s="1"/>
      <c r="C1" s="1"/>
      <c r="D1" s="1" t="s">
        <v>651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6600</v>
      </c>
      <c r="B5" s="27" t="s">
        <v>74</v>
      </c>
      <c r="C5" s="7">
        <v>260</v>
      </c>
      <c r="D5" s="7">
        <v>1.2</v>
      </c>
      <c r="E5" s="7">
        <f>C5*D5</f>
        <v>312</v>
      </c>
      <c r="F5" s="27" t="s">
        <v>653</v>
      </c>
      <c r="M5" s="41"/>
    </row>
    <row r="6" spans="1:13">
      <c r="A6" s="13"/>
      <c r="C6" s="7" t="s">
        <v>18</v>
      </c>
      <c r="D6" s="7"/>
      <c r="E6" s="7">
        <f>SUM(E5:E5)</f>
        <v>312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F5" sqref="A5:D5 F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665</v>
      </c>
      <c r="B1" s="1"/>
      <c r="C1" s="1"/>
      <c r="D1" s="1" t="s">
        <v>651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6514</v>
      </c>
      <c r="B5" s="27" t="s">
        <v>361</v>
      </c>
      <c r="C5" s="7">
        <v>400</v>
      </c>
      <c r="D5" s="7">
        <v>2757</v>
      </c>
      <c r="E5" s="7">
        <f>C5*D5</f>
        <v>1102800</v>
      </c>
      <c r="F5" s="27" t="s">
        <v>570</v>
      </c>
      <c r="M5" s="41"/>
    </row>
    <row r="6" spans="1:13">
      <c r="A6" s="13"/>
      <c r="C6" s="7" t="s">
        <v>18</v>
      </c>
      <c r="D6" s="7"/>
      <c r="E6" s="7">
        <f>SUM(E5:E5)</f>
        <v>1102800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F15" sqref="F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666</v>
      </c>
      <c r="B1" s="1"/>
      <c r="C1" s="1"/>
      <c r="D1" s="1" t="s">
        <v>651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6695</v>
      </c>
      <c r="B5" s="27" t="s">
        <v>129</v>
      </c>
      <c r="C5" s="7">
        <v>560</v>
      </c>
      <c r="D5" s="7">
        <v>1.2</v>
      </c>
      <c r="E5" s="7">
        <f>C5*D5</f>
        <v>672</v>
      </c>
      <c r="F5" s="27" t="s">
        <v>667</v>
      </c>
      <c r="M5" s="41"/>
    </row>
    <row r="6" spans="1:13">
      <c r="A6" s="13"/>
      <c r="C6" s="7" t="s">
        <v>18</v>
      </c>
      <c r="D6" s="7"/>
      <c r="E6" s="7">
        <f>SUM(E5:E5)</f>
        <v>672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I20" sqref="I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668</v>
      </c>
      <c r="B1" s="1"/>
      <c r="C1" s="1"/>
      <c r="D1" s="1" t="s">
        <v>651</v>
      </c>
      <c r="E1" s="1"/>
      <c r="F1" s="1"/>
    </row>
    <row r="2" spans="1:6">
      <c r="A2" s="2" t="s">
        <v>669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6414</v>
      </c>
      <c r="B5" s="27" t="s">
        <v>670</v>
      </c>
      <c r="C5" s="7">
        <v>90</v>
      </c>
      <c r="D5" s="7">
        <v>1.2</v>
      </c>
      <c r="E5" s="7">
        <f>C5*D5</f>
        <v>108</v>
      </c>
      <c r="F5" s="27" t="s">
        <v>570</v>
      </c>
      <c r="M5" s="41"/>
    </row>
    <row r="6" spans="1:13">
      <c r="A6" s="13"/>
      <c r="C6" s="7" t="s">
        <v>18</v>
      </c>
      <c r="D6" s="7"/>
      <c r="E6" s="7">
        <f>SUM(E5:E5)</f>
        <v>108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F5" sqref="A5:D5 F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671</v>
      </c>
      <c r="B1" s="1"/>
      <c r="C1" s="1"/>
      <c r="D1" s="1" t="s">
        <v>672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6338</v>
      </c>
      <c r="B5" s="27" t="s">
        <v>497</v>
      </c>
      <c r="C5" s="7">
        <v>600</v>
      </c>
      <c r="D5" s="7">
        <v>1.2</v>
      </c>
      <c r="E5" s="7">
        <f>C5*D5</f>
        <v>720</v>
      </c>
      <c r="F5" s="27" t="s">
        <v>655</v>
      </c>
      <c r="M5" s="41"/>
    </row>
    <row r="6" spans="1:13">
      <c r="A6" s="13"/>
      <c r="C6" s="7" t="s">
        <v>18</v>
      </c>
      <c r="D6" s="7"/>
      <c r="E6" s="7">
        <f>SUM(E5:E5)</f>
        <v>720</v>
      </c>
      <c r="M6" s="40"/>
    </row>
    <row r="7" spans="1:13">
      <c r="A7" s="13"/>
      <c r="B7" s="12"/>
      <c r="C7" s="13"/>
      <c r="D7" s="13"/>
      <c r="E7" s="13"/>
      <c r="M7" s="40"/>
    </row>
    <row r="8" spans="13:13">
      <c r="M8" s="40"/>
    </row>
    <row r="9" spans="13:13">
      <c r="M9" s="40"/>
    </row>
    <row r="10" spans="13:13">
      <c r="M10" s="12"/>
    </row>
  </sheetData>
  <mergeCells count="7">
    <mergeCell ref="A1:C1"/>
    <mergeCell ref="D1:F1"/>
    <mergeCell ref="A2:C2"/>
    <mergeCell ref="D2:F2"/>
    <mergeCell ref="A3:F3"/>
    <mergeCell ref="C6:D6"/>
    <mergeCell ref="C7:D7"/>
  </mergeCells>
  <pageMargins left="0.7" right="0.7" top="0.75" bottom="0.75" header="0.3" footer="0.3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F5" sqref="A5:D6 F5:F6"/>
    </sheetView>
  </sheetViews>
  <sheetFormatPr defaultColWidth="9" defaultRowHeight="14.25" outlineLevelRow="7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673</v>
      </c>
      <c r="B1" s="1"/>
      <c r="C1" s="1"/>
      <c r="D1" s="1" t="s">
        <v>672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6425</v>
      </c>
      <c r="B5" s="27" t="s">
        <v>473</v>
      </c>
      <c r="C5" s="7">
        <v>100</v>
      </c>
      <c r="D5" s="27">
        <v>2875</v>
      </c>
      <c r="E5" s="7">
        <f>C5*D5</f>
        <v>287500</v>
      </c>
      <c r="F5" s="27" t="s">
        <v>611</v>
      </c>
      <c r="M5" s="40"/>
    </row>
    <row r="6" spans="1:13">
      <c r="A6" s="27">
        <v>6429</v>
      </c>
      <c r="B6" s="27" t="s">
        <v>476</v>
      </c>
      <c r="C6" s="7">
        <v>100</v>
      </c>
      <c r="D6" s="27">
        <v>2875</v>
      </c>
      <c r="E6" s="7">
        <f>C6*D6</f>
        <v>287500</v>
      </c>
      <c r="F6" s="27" t="s">
        <v>611</v>
      </c>
      <c r="M6" s="40"/>
    </row>
    <row r="7" spans="3:13">
      <c r="C7" s="7" t="s">
        <v>18</v>
      </c>
      <c r="D7" s="7"/>
      <c r="E7" s="7">
        <f>SUM(E5:E6)</f>
        <v>575000</v>
      </c>
      <c r="M7" s="40"/>
    </row>
    <row r="8" spans="13:13">
      <c r="M8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F5" sqref="A5:D6 F5:F6"/>
    </sheetView>
  </sheetViews>
  <sheetFormatPr defaultColWidth="9" defaultRowHeight="14.25" outlineLevelRow="7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674</v>
      </c>
      <c r="B1" s="1"/>
      <c r="C1" s="1"/>
      <c r="D1" s="1" t="s">
        <v>672</v>
      </c>
      <c r="E1" s="1"/>
      <c r="F1" s="1"/>
    </row>
    <row r="2" spans="1:6">
      <c r="A2" s="2" t="s">
        <v>675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6425</v>
      </c>
      <c r="B5" s="27" t="s">
        <v>473</v>
      </c>
      <c r="C5" s="7">
        <v>400</v>
      </c>
      <c r="D5" s="7">
        <v>2757</v>
      </c>
      <c r="E5" s="7">
        <f>C5*D5</f>
        <v>1102800</v>
      </c>
      <c r="F5" s="27" t="s">
        <v>611</v>
      </c>
      <c r="M5" s="40"/>
    </row>
    <row r="6" spans="1:13">
      <c r="A6" s="27">
        <v>6429</v>
      </c>
      <c r="B6" s="27" t="s">
        <v>476</v>
      </c>
      <c r="C6" s="7">
        <v>400</v>
      </c>
      <c r="D6" s="7">
        <v>2757</v>
      </c>
      <c r="E6" s="7">
        <f>C6*D6</f>
        <v>1102800</v>
      </c>
      <c r="F6" s="27" t="s">
        <v>611</v>
      </c>
      <c r="M6" s="40"/>
    </row>
    <row r="7" spans="3:13">
      <c r="C7" s="7" t="s">
        <v>18</v>
      </c>
      <c r="D7" s="7"/>
      <c r="E7" s="7">
        <f>SUM(E5:E6)</f>
        <v>2205600</v>
      </c>
      <c r="M7" s="40"/>
    </row>
    <row r="8" spans="13:13">
      <c r="M8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F5" sqref="A5:D14 F5:F1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676</v>
      </c>
      <c r="B1" s="1"/>
      <c r="C1" s="1"/>
      <c r="D1" s="1" t="s">
        <v>672</v>
      </c>
      <c r="E1" s="1"/>
      <c r="F1" s="1"/>
    </row>
    <row r="2" spans="1:6">
      <c r="A2" s="2" t="s">
        <v>56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6434</v>
      </c>
      <c r="B5" s="27" t="s">
        <v>474</v>
      </c>
      <c r="C5" s="7">
        <v>100</v>
      </c>
      <c r="D5" s="7">
        <v>2710</v>
      </c>
      <c r="E5" s="7">
        <f t="shared" ref="E5:E14" si="0">C5*D5</f>
        <v>271000</v>
      </c>
      <c r="F5" s="27" t="s">
        <v>611</v>
      </c>
      <c r="M5" s="41"/>
    </row>
    <row r="6" spans="1:13">
      <c r="A6" s="27">
        <v>6447</v>
      </c>
      <c r="B6" s="27" t="s">
        <v>480</v>
      </c>
      <c r="C6" s="7">
        <v>100</v>
      </c>
      <c r="D6" s="7">
        <v>2710</v>
      </c>
      <c r="E6" s="7">
        <f t="shared" si="0"/>
        <v>271000</v>
      </c>
      <c r="F6" s="27" t="s">
        <v>611</v>
      </c>
      <c r="M6" s="41"/>
    </row>
    <row r="7" spans="1:13">
      <c r="A7" s="27">
        <v>6448</v>
      </c>
      <c r="B7" s="27" t="s">
        <v>479</v>
      </c>
      <c r="C7" s="7">
        <v>100</v>
      </c>
      <c r="D7" s="7">
        <v>2710</v>
      </c>
      <c r="E7" s="7">
        <f t="shared" si="0"/>
        <v>271000</v>
      </c>
      <c r="F7" s="27" t="s">
        <v>611</v>
      </c>
      <c r="M7" s="41"/>
    </row>
    <row r="8" spans="1:13">
      <c r="A8" s="27">
        <v>6441</v>
      </c>
      <c r="B8" s="27" t="s">
        <v>478</v>
      </c>
      <c r="C8" s="7">
        <v>100</v>
      </c>
      <c r="D8" s="7">
        <v>2710</v>
      </c>
      <c r="E8" s="7">
        <f t="shared" si="0"/>
        <v>271000</v>
      </c>
      <c r="F8" s="27" t="s">
        <v>611</v>
      </c>
      <c r="M8" s="41"/>
    </row>
    <row r="9" spans="1:13">
      <c r="A9" s="27">
        <v>6424</v>
      </c>
      <c r="B9" s="27" t="s">
        <v>472</v>
      </c>
      <c r="C9" s="7">
        <v>100</v>
      </c>
      <c r="D9" s="7">
        <v>2710</v>
      </c>
      <c r="E9" s="7">
        <f t="shared" si="0"/>
        <v>271000</v>
      </c>
      <c r="F9" s="27" t="s">
        <v>611</v>
      </c>
      <c r="M9" s="41"/>
    </row>
    <row r="10" spans="1:13">
      <c r="A10" s="27">
        <v>6439</v>
      </c>
      <c r="B10" s="27" t="s">
        <v>475</v>
      </c>
      <c r="C10" s="7">
        <v>100</v>
      </c>
      <c r="D10" s="7">
        <v>2710</v>
      </c>
      <c r="E10" s="7">
        <f t="shared" si="0"/>
        <v>271000</v>
      </c>
      <c r="F10" s="27" t="s">
        <v>611</v>
      </c>
      <c r="M10" s="41"/>
    </row>
    <row r="11" spans="1:13">
      <c r="A11" s="27">
        <v>6445</v>
      </c>
      <c r="B11" s="27" t="s">
        <v>481</v>
      </c>
      <c r="C11" s="7">
        <v>100</v>
      </c>
      <c r="D11" s="7">
        <v>2710</v>
      </c>
      <c r="E11" s="7">
        <f t="shared" si="0"/>
        <v>271000</v>
      </c>
      <c r="F11" s="27" t="s">
        <v>611</v>
      </c>
      <c r="M11" s="41"/>
    </row>
    <row r="12" spans="1:13">
      <c r="A12" s="27">
        <v>6425</v>
      </c>
      <c r="B12" s="27" t="s">
        <v>473</v>
      </c>
      <c r="C12" s="7">
        <v>100</v>
      </c>
      <c r="D12" s="27">
        <v>2710</v>
      </c>
      <c r="E12" s="7">
        <f t="shared" si="0"/>
        <v>271000</v>
      </c>
      <c r="F12" s="27" t="s">
        <v>611</v>
      </c>
      <c r="M12" s="40"/>
    </row>
    <row r="13" spans="1:13">
      <c r="A13" s="27">
        <v>6443</v>
      </c>
      <c r="B13" s="27" t="s">
        <v>477</v>
      </c>
      <c r="C13" s="7">
        <v>100</v>
      </c>
      <c r="D13" s="27">
        <v>2710</v>
      </c>
      <c r="E13" s="7">
        <f t="shared" si="0"/>
        <v>271000</v>
      </c>
      <c r="F13" s="27" t="s">
        <v>611</v>
      </c>
      <c r="M13" s="40"/>
    </row>
    <row r="14" spans="1:13">
      <c r="A14" s="27">
        <v>6429</v>
      </c>
      <c r="B14" s="27" t="s">
        <v>476</v>
      </c>
      <c r="C14" s="7">
        <v>100</v>
      </c>
      <c r="D14" s="27">
        <v>2710</v>
      </c>
      <c r="E14" s="7">
        <f t="shared" si="0"/>
        <v>271000</v>
      </c>
      <c r="F14" s="27" t="s">
        <v>611</v>
      </c>
      <c r="M14" s="40"/>
    </row>
    <row r="15" spans="3:13">
      <c r="C15" s="7" t="s">
        <v>18</v>
      </c>
      <c r="D15" s="7"/>
      <c r="E15" s="7">
        <f>SUM(E5:E14)</f>
        <v>2710000</v>
      </c>
      <c r="M15" s="40"/>
    </row>
    <row r="16" spans="13:13">
      <c r="M16" s="12"/>
    </row>
  </sheetData>
  <mergeCells count="6">
    <mergeCell ref="A1:C1"/>
    <mergeCell ref="D1:F1"/>
    <mergeCell ref="A2:C2"/>
    <mergeCell ref="D2:F2"/>
    <mergeCell ref="A3:F3"/>
    <mergeCell ref="C15:D15"/>
  </mergeCells>
  <pageMargins left="0.7" right="0.7" top="0.75" bottom="0.75" header="0.3" footer="0.3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M31" sqref="M3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677</v>
      </c>
      <c r="B1" s="1"/>
      <c r="C1" s="1"/>
      <c r="D1" s="1" t="s">
        <v>672</v>
      </c>
      <c r="E1" s="1"/>
      <c r="F1" s="1"/>
    </row>
    <row r="2" spans="1:6">
      <c r="A2" s="2" t="s">
        <v>302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6434</v>
      </c>
      <c r="B5" s="27" t="s">
        <v>474</v>
      </c>
      <c r="C5" s="7">
        <v>70</v>
      </c>
      <c r="D5" s="7">
        <v>2730</v>
      </c>
      <c r="E5" s="7">
        <f t="shared" ref="E5:E14" si="0">C5*D5</f>
        <v>191100</v>
      </c>
      <c r="F5" s="27" t="s">
        <v>611</v>
      </c>
      <c r="M5" s="41"/>
    </row>
    <row r="6" spans="1:13">
      <c r="A6" s="27">
        <v>6447</v>
      </c>
      <c r="B6" s="27" t="s">
        <v>480</v>
      </c>
      <c r="C6" s="7">
        <v>70</v>
      </c>
      <c r="D6" s="7">
        <v>2730</v>
      </c>
      <c r="E6" s="7">
        <f t="shared" si="0"/>
        <v>191100</v>
      </c>
      <c r="F6" s="27" t="s">
        <v>611</v>
      </c>
      <c r="M6" s="41"/>
    </row>
    <row r="7" spans="1:13">
      <c r="A7" s="27">
        <v>6448</v>
      </c>
      <c r="B7" s="27" t="s">
        <v>479</v>
      </c>
      <c r="C7" s="7">
        <v>70</v>
      </c>
      <c r="D7" s="7">
        <v>2730</v>
      </c>
      <c r="E7" s="7">
        <f t="shared" si="0"/>
        <v>191100</v>
      </c>
      <c r="F7" s="27" t="s">
        <v>611</v>
      </c>
      <c r="M7" s="41"/>
    </row>
    <row r="8" spans="1:13">
      <c r="A8" s="27">
        <v>6441</v>
      </c>
      <c r="B8" s="27" t="s">
        <v>478</v>
      </c>
      <c r="C8" s="7">
        <v>70</v>
      </c>
      <c r="D8" s="7">
        <v>2730</v>
      </c>
      <c r="E8" s="7">
        <f t="shared" si="0"/>
        <v>191100</v>
      </c>
      <c r="F8" s="27" t="s">
        <v>611</v>
      </c>
      <c r="M8" s="41"/>
    </row>
    <row r="9" spans="1:13">
      <c r="A9" s="27">
        <v>6424</v>
      </c>
      <c r="B9" s="27" t="s">
        <v>472</v>
      </c>
      <c r="C9" s="7">
        <v>70</v>
      </c>
      <c r="D9" s="7">
        <v>2730</v>
      </c>
      <c r="E9" s="7">
        <f t="shared" si="0"/>
        <v>191100</v>
      </c>
      <c r="F9" s="27" t="s">
        <v>611</v>
      </c>
      <c r="M9" s="41"/>
    </row>
    <row r="10" spans="1:13">
      <c r="A10" s="27">
        <v>6439</v>
      </c>
      <c r="B10" s="27" t="s">
        <v>475</v>
      </c>
      <c r="C10" s="7">
        <v>70</v>
      </c>
      <c r="D10" s="7">
        <v>2730</v>
      </c>
      <c r="E10" s="7">
        <f t="shared" si="0"/>
        <v>191100</v>
      </c>
      <c r="F10" s="27" t="s">
        <v>611</v>
      </c>
      <c r="M10" s="41"/>
    </row>
    <row r="11" spans="1:13">
      <c r="A11" s="27">
        <v>6445</v>
      </c>
      <c r="B11" s="27" t="s">
        <v>481</v>
      </c>
      <c r="C11" s="7">
        <v>70</v>
      </c>
      <c r="D11" s="7">
        <v>2730</v>
      </c>
      <c r="E11" s="7">
        <f t="shared" si="0"/>
        <v>191100</v>
      </c>
      <c r="F11" s="27" t="s">
        <v>611</v>
      </c>
      <c r="M11" s="41"/>
    </row>
    <row r="12" spans="1:13">
      <c r="A12" s="27">
        <v>6425</v>
      </c>
      <c r="B12" s="27" t="s">
        <v>473</v>
      </c>
      <c r="C12" s="7">
        <v>70</v>
      </c>
      <c r="D12" s="27">
        <v>2730</v>
      </c>
      <c r="E12" s="7">
        <f t="shared" si="0"/>
        <v>191100</v>
      </c>
      <c r="F12" s="27" t="s">
        <v>611</v>
      </c>
      <c r="M12" s="40"/>
    </row>
    <row r="13" spans="1:13">
      <c r="A13" s="27">
        <v>6443</v>
      </c>
      <c r="B13" s="27" t="s">
        <v>477</v>
      </c>
      <c r="C13" s="7">
        <v>70</v>
      </c>
      <c r="D13" s="27">
        <v>2730</v>
      </c>
      <c r="E13" s="7">
        <f t="shared" si="0"/>
        <v>191100</v>
      </c>
      <c r="F13" s="27" t="s">
        <v>611</v>
      </c>
      <c r="M13" s="40"/>
    </row>
    <row r="14" spans="1:13">
      <c r="A14" s="27">
        <v>6429</v>
      </c>
      <c r="B14" s="27" t="s">
        <v>476</v>
      </c>
      <c r="C14" s="7">
        <v>70</v>
      </c>
      <c r="D14" s="27">
        <v>2730</v>
      </c>
      <c r="E14" s="7">
        <f t="shared" si="0"/>
        <v>191100</v>
      </c>
      <c r="F14" s="27" t="s">
        <v>611</v>
      </c>
      <c r="M14" s="40"/>
    </row>
    <row r="15" spans="3:13">
      <c r="C15" s="7" t="s">
        <v>18</v>
      </c>
      <c r="D15" s="7"/>
      <c r="E15" s="7">
        <f>SUM(E5:E14)</f>
        <v>1911000</v>
      </c>
      <c r="M15" s="40"/>
    </row>
    <row r="16" spans="13:13">
      <c r="M16" s="12"/>
    </row>
  </sheetData>
  <mergeCells count="6">
    <mergeCell ref="A1:C1"/>
    <mergeCell ref="D1:F1"/>
    <mergeCell ref="A2:C2"/>
    <mergeCell ref="D2:F2"/>
    <mergeCell ref="A3:F3"/>
    <mergeCell ref="C15:D15"/>
  </mergeCells>
  <pageMargins left="0.7" right="0.7" top="0.75" bottom="0.75" header="0.3" footer="0.3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H8" sqref="H8"/>
    </sheetView>
  </sheetViews>
  <sheetFormatPr defaultColWidth="9" defaultRowHeight="14.25" outlineLevelRow="6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678</v>
      </c>
      <c r="B1" s="1"/>
      <c r="C1" s="1"/>
      <c r="D1" s="1" t="s">
        <v>672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6414</v>
      </c>
      <c r="B5" s="27" t="s">
        <v>670</v>
      </c>
      <c r="C5" s="7">
        <v>350</v>
      </c>
      <c r="D5" s="7">
        <v>1.2</v>
      </c>
      <c r="E5" s="7">
        <f>C5*D5</f>
        <v>420</v>
      </c>
      <c r="F5" s="27" t="s">
        <v>570</v>
      </c>
      <c r="M5" s="41"/>
    </row>
    <row r="6" spans="3:13">
      <c r="C6" s="7" t="s">
        <v>18</v>
      </c>
      <c r="D6" s="7"/>
      <c r="E6" s="7">
        <f>SUM(E5:E5)</f>
        <v>420</v>
      </c>
      <c r="M6" s="40"/>
    </row>
    <row r="7" spans="13:13">
      <c r="M7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J18" sqref="J1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679</v>
      </c>
      <c r="B1" s="1"/>
      <c r="C1" s="1"/>
      <c r="D1" s="1" t="s">
        <v>672</v>
      </c>
      <c r="E1" s="1"/>
      <c r="F1" s="1"/>
    </row>
    <row r="2" spans="1:6">
      <c r="A2" s="2" t="s">
        <v>76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6682</v>
      </c>
      <c r="B5" s="27" t="s">
        <v>207</v>
      </c>
      <c r="C5" s="7">
        <v>50</v>
      </c>
      <c r="D5" s="7">
        <v>1.2</v>
      </c>
      <c r="E5" s="7">
        <f>C5*D5</f>
        <v>60</v>
      </c>
      <c r="F5" s="27" t="s">
        <v>570</v>
      </c>
      <c r="M5" s="41"/>
    </row>
    <row r="6" spans="1:13">
      <c r="A6" s="7">
        <v>6545</v>
      </c>
      <c r="B6" s="7" t="s">
        <v>680</v>
      </c>
      <c r="C6" s="7">
        <v>50</v>
      </c>
      <c r="D6" s="7">
        <v>1.2</v>
      </c>
      <c r="E6" s="7">
        <f t="shared" ref="E6:E11" si="0">C6*D6</f>
        <v>60</v>
      </c>
      <c r="F6" s="7" t="s">
        <v>570</v>
      </c>
      <c r="M6" s="41"/>
    </row>
    <row r="7" spans="1:13">
      <c r="A7" s="7">
        <v>6678</v>
      </c>
      <c r="B7" s="7" t="s">
        <v>251</v>
      </c>
      <c r="C7" s="7">
        <v>50</v>
      </c>
      <c r="D7" s="7">
        <v>1.2</v>
      </c>
      <c r="E7" s="7">
        <f t="shared" si="0"/>
        <v>60</v>
      </c>
      <c r="F7" s="7" t="s">
        <v>570</v>
      </c>
      <c r="M7" s="41"/>
    </row>
    <row r="8" spans="1:13">
      <c r="A8" s="7">
        <v>6644</v>
      </c>
      <c r="B8" s="7" t="s">
        <v>681</v>
      </c>
      <c r="C8" s="7">
        <v>50</v>
      </c>
      <c r="D8" s="7">
        <v>1.2</v>
      </c>
      <c r="E8" s="7">
        <f t="shared" si="0"/>
        <v>60</v>
      </c>
      <c r="F8" s="7" t="s">
        <v>570</v>
      </c>
      <c r="M8" s="41"/>
    </row>
    <row r="9" spans="1:13">
      <c r="A9" s="7">
        <v>6645</v>
      </c>
      <c r="B9" s="7" t="s">
        <v>682</v>
      </c>
      <c r="C9" s="7">
        <v>50</v>
      </c>
      <c r="D9" s="7">
        <v>1.2</v>
      </c>
      <c r="E9" s="7">
        <f t="shared" si="0"/>
        <v>60</v>
      </c>
      <c r="F9" s="7" t="s">
        <v>570</v>
      </c>
      <c r="M9" s="41"/>
    </row>
    <row r="10" spans="1:13">
      <c r="A10" s="7">
        <v>6646</v>
      </c>
      <c r="B10" s="7" t="s">
        <v>683</v>
      </c>
      <c r="C10" s="7">
        <v>50</v>
      </c>
      <c r="D10" s="7">
        <v>1.2</v>
      </c>
      <c r="E10" s="7">
        <f t="shared" si="0"/>
        <v>60</v>
      </c>
      <c r="F10" s="7" t="s">
        <v>570</v>
      </c>
      <c r="M10" s="41"/>
    </row>
    <row r="11" spans="1:13">
      <c r="A11" s="27">
        <v>6643</v>
      </c>
      <c r="B11" s="7" t="s">
        <v>92</v>
      </c>
      <c r="C11" s="7">
        <v>50</v>
      </c>
      <c r="D11" s="7">
        <v>1.2</v>
      </c>
      <c r="E11" s="7">
        <f t="shared" si="0"/>
        <v>60</v>
      </c>
      <c r="F11" s="7" t="s">
        <v>570</v>
      </c>
      <c r="M11" s="41"/>
    </row>
    <row r="12" spans="3:13">
      <c r="C12" s="7" t="s">
        <v>18</v>
      </c>
      <c r="D12" s="7"/>
      <c r="E12" s="7">
        <f>SUM(E5:E11)</f>
        <v>420</v>
      </c>
      <c r="M12" s="40"/>
    </row>
    <row r="13" spans="13:13">
      <c r="M13" s="12"/>
    </row>
  </sheetData>
  <mergeCells count="6">
    <mergeCell ref="A1:C1"/>
    <mergeCell ref="D1:F1"/>
    <mergeCell ref="A2:C2"/>
    <mergeCell ref="D2:F2"/>
    <mergeCell ref="A3:F3"/>
    <mergeCell ref="C12:D12"/>
  </mergeCells>
  <pageMargins left="0.7" right="0.7" top="0.75" bottom="0.75" header="0.3" footer="0.3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G8" sqref="G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684</v>
      </c>
      <c r="B1" s="1"/>
      <c r="C1" s="1"/>
      <c r="D1" s="1" t="s">
        <v>672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6682</v>
      </c>
      <c r="B5" s="27" t="s">
        <v>207</v>
      </c>
      <c r="C5" s="7">
        <v>350</v>
      </c>
      <c r="D5" s="7">
        <v>1.2</v>
      </c>
      <c r="E5" s="7">
        <f t="shared" ref="E5:E11" si="0">C5*D5</f>
        <v>420</v>
      </c>
      <c r="F5" s="27" t="s">
        <v>570</v>
      </c>
      <c r="M5" s="41"/>
    </row>
    <row r="6" spans="1:13">
      <c r="A6" s="7">
        <v>6545</v>
      </c>
      <c r="B6" s="7" t="s">
        <v>680</v>
      </c>
      <c r="C6" s="7">
        <v>350</v>
      </c>
      <c r="D6" s="7">
        <v>1.2</v>
      </c>
      <c r="E6" s="7">
        <f t="shared" si="0"/>
        <v>420</v>
      </c>
      <c r="F6" s="7" t="s">
        <v>570</v>
      </c>
      <c r="M6" s="41"/>
    </row>
    <row r="7" spans="1:13">
      <c r="A7" s="7">
        <v>6678</v>
      </c>
      <c r="B7" s="7" t="s">
        <v>251</v>
      </c>
      <c r="C7" s="7">
        <v>350</v>
      </c>
      <c r="D7" s="7">
        <v>1.2</v>
      </c>
      <c r="E7" s="7">
        <f t="shared" si="0"/>
        <v>420</v>
      </c>
      <c r="F7" s="7" t="s">
        <v>570</v>
      </c>
      <c r="M7" s="41"/>
    </row>
    <row r="8" spans="1:13">
      <c r="A8" s="7">
        <v>6644</v>
      </c>
      <c r="B8" s="7" t="s">
        <v>681</v>
      </c>
      <c r="C8" s="7">
        <v>350</v>
      </c>
      <c r="D8" s="7">
        <v>1.2</v>
      </c>
      <c r="E8" s="7">
        <f t="shared" si="0"/>
        <v>420</v>
      </c>
      <c r="F8" s="7" t="s">
        <v>570</v>
      </c>
      <c r="M8" s="41"/>
    </row>
    <row r="9" spans="1:13">
      <c r="A9" s="7">
        <v>6645</v>
      </c>
      <c r="B9" s="7" t="s">
        <v>682</v>
      </c>
      <c r="C9" s="7">
        <v>350</v>
      </c>
      <c r="D9" s="7">
        <v>1.2</v>
      </c>
      <c r="E9" s="7">
        <f t="shared" si="0"/>
        <v>420</v>
      </c>
      <c r="F9" s="7" t="s">
        <v>570</v>
      </c>
      <c r="M9" s="41"/>
    </row>
    <row r="10" spans="1:13">
      <c r="A10" s="7">
        <v>6646</v>
      </c>
      <c r="B10" s="7" t="s">
        <v>683</v>
      </c>
      <c r="C10" s="7">
        <v>350</v>
      </c>
      <c r="D10" s="7">
        <v>1.2</v>
      </c>
      <c r="E10" s="7">
        <f t="shared" si="0"/>
        <v>420</v>
      </c>
      <c r="F10" s="7" t="s">
        <v>570</v>
      </c>
      <c r="M10" s="41"/>
    </row>
    <row r="11" spans="1:13">
      <c r="A11" s="27">
        <v>6643</v>
      </c>
      <c r="B11" s="7" t="s">
        <v>92</v>
      </c>
      <c r="C11" s="7">
        <v>350</v>
      </c>
      <c r="D11" s="7">
        <v>1.2</v>
      </c>
      <c r="E11" s="7">
        <f t="shared" si="0"/>
        <v>420</v>
      </c>
      <c r="F11" s="7" t="s">
        <v>570</v>
      </c>
      <c r="M11" s="41"/>
    </row>
    <row r="12" spans="3:13">
      <c r="C12" s="7" t="s">
        <v>18</v>
      </c>
      <c r="D12" s="7"/>
      <c r="E12" s="7">
        <f>SUM(E5:E11)</f>
        <v>2940</v>
      </c>
      <c r="M12" s="40"/>
    </row>
    <row r="13" spans="13:13">
      <c r="M13" s="12"/>
    </row>
  </sheetData>
  <mergeCells count="6">
    <mergeCell ref="A1:C1"/>
    <mergeCell ref="D1:F1"/>
    <mergeCell ref="A2:C2"/>
    <mergeCell ref="D2:F2"/>
    <mergeCell ref="A3:F3"/>
    <mergeCell ref="C12:D12"/>
  </mergeCells>
  <pageMargins left="0.7" right="0.7" top="0.75" bottom="0.75" header="0.3" footer="0.3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J26" sqref="J26"/>
    </sheetView>
  </sheetViews>
  <sheetFormatPr defaultColWidth="9" defaultRowHeight="14.25" outlineLevelRow="7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685</v>
      </c>
      <c r="B1" s="1"/>
      <c r="C1" s="1"/>
      <c r="D1" s="1" t="s">
        <v>672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6682</v>
      </c>
      <c r="B5" s="27" t="s">
        <v>207</v>
      </c>
      <c r="C5" s="7">
        <v>40</v>
      </c>
      <c r="D5" s="7">
        <v>1.2</v>
      </c>
      <c r="E5" s="7">
        <f>C5*D5</f>
        <v>48</v>
      </c>
      <c r="F5" s="27" t="s">
        <v>570</v>
      </c>
      <c r="M5" s="41"/>
    </row>
    <row r="6" spans="1:13">
      <c r="A6" s="7">
        <v>6678</v>
      </c>
      <c r="B6" s="7" t="s">
        <v>251</v>
      </c>
      <c r="C6" s="7">
        <v>40</v>
      </c>
      <c r="D6" s="7">
        <v>1.2</v>
      </c>
      <c r="E6" s="7">
        <f>C6*D6</f>
        <v>48</v>
      </c>
      <c r="F6" s="7" t="s">
        <v>570</v>
      </c>
      <c r="M6" s="41"/>
    </row>
    <row r="7" spans="3:13">
      <c r="C7" s="7" t="s">
        <v>18</v>
      </c>
      <c r="D7" s="7"/>
      <c r="E7" s="7">
        <f>SUM(E5:E6)</f>
        <v>96</v>
      </c>
      <c r="M7" s="40"/>
    </row>
    <row r="8" spans="13:13">
      <c r="M8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J25" sqref="J2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686</v>
      </c>
      <c r="B1" s="1"/>
      <c r="C1" s="1"/>
      <c r="D1" s="1" t="s">
        <v>672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6774</v>
      </c>
      <c r="B5" s="27" t="s">
        <v>687</v>
      </c>
      <c r="C5" s="7">
        <v>40</v>
      </c>
      <c r="D5" s="7">
        <v>1.2</v>
      </c>
      <c r="E5" s="7">
        <f>C5*D5</f>
        <v>48</v>
      </c>
      <c r="F5" s="27" t="s">
        <v>570</v>
      </c>
      <c r="M5" s="41"/>
    </row>
    <row r="6" spans="1:13">
      <c r="A6" s="7">
        <v>6773</v>
      </c>
      <c r="B6" s="7" t="s">
        <v>619</v>
      </c>
      <c r="C6" s="7">
        <v>40</v>
      </c>
      <c r="D6" s="7">
        <v>1.2</v>
      </c>
      <c r="E6" s="7">
        <f>C6*D6</f>
        <v>48</v>
      </c>
      <c r="F6" s="7" t="s">
        <v>570</v>
      </c>
      <c r="M6" s="41"/>
    </row>
    <row r="7" spans="1:13">
      <c r="A7" s="7">
        <v>6772</v>
      </c>
      <c r="B7" s="22" t="s">
        <v>618</v>
      </c>
      <c r="C7" s="7">
        <v>40</v>
      </c>
      <c r="D7" s="7">
        <v>1.2</v>
      </c>
      <c r="E7" s="7">
        <f>C7*D7</f>
        <v>48</v>
      </c>
      <c r="F7" s="7" t="s">
        <v>570</v>
      </c>
      <c r="M7" s="41"/>
    </row>
    <row r="8" spans="3:13">
      <c r="C8" s="8" t="s">
        <v>18</v>
      </c>
      <c r="D8" s="8"/>
      <c r="E8" s="8">
        <f>SUM(E5:E7)</f>
        <v>144</v>
      </c>
      <c r="M8" s="40"/>
    </row>
    <row r="9" spans="13:13">
      <c r="M9" s="12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F5" sqref="A5:D6 F5:F6"/>
    </sheetView>
  </sheetViews>
  <sheetFormatPr defaultColWidth="9" defaultRowHeight="14.25" outlineLevelRow="7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688</v>
      </c>
      <c r="B1" s="1"/>
      <c r="C1" s="1"/>
      <c r="D1" s="1" t="s">
        <v>672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6711</v>
      </c>
      <c r="B5" s="7" t="s">
        <v>79</v>
      </c>
      <c r="C5" s="7">
        <v>470</v>
      </c>
      <c r="D5" s="7">
        <v>2757</v>
      </c>
      <c r="E5" s="7">
        <f>C5*D5</f>
        <v>1295790</v>
      </c>
      <c r="F5" s="27" t="s">
        <v>653</v>
      </c>
      <c r="M5" s="41"/>
    </row>
    <row r="6" spans="1:13">
      <c r="A6" s="7">
        <v>6712</v>
      </c>
      <c r="B6" s="7" t="s">
        <v>80</v>
      </c>
      <c r="C6" s="7">
        <v>470</v>
      </c>
      <c r="D6" s="7">
        <v>2757</v>
      </c>
      <c r="E6" s="7">
        <f>C6*D6</f>
        <v>1295790</v>
      </c>
      <c r="F6" s="7" t="s">
        <v>653</v>
      </c>
      <c r="M6" s="41"/>
    </row>
    <row r="7" spans="3:13">
      <c r="C7" s="8" t="s">
        <v>18</v>
      </c>
      <c r="D7" s="8"/>
      <c r="E7" s="8">
        <f>SUM(E5:E6)</f>
        <v>2591580</v>
      </c>
      <c r="M7" s="40"/>
    </row>
    <row r="8" spans="13:13">
      <c r="M8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D18" sqref="D18"/>
    </sheetView>
  </sheetViews>
  <sheetFormatPr defaultColWidth="9" defaultRowHeight="14.25" outlineLevelRow="7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689</v>
      </c>
      <c r="B1" s="1"/>
      <c r="C1" s="1"/>
      <c r="D1" s="1" t="s">
        <v>672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7">
        <v>6616</v>
      </c>
      <c r="B5" s="7" t="s">
        <v>690</v>
      </c>
      <c r="C5" s="7">
        <v>20</v>
      </c>
      <c r="D5" s="7">
        <v>1.2</v>
      </c>
      <c r="E5" s="7">
        <f>C5*D5</f>
        <v>24</v>
      </c>
      <c r="F5" s="27" t="s">
        <v>570</v>
      </c>
      <c r="M5" s="41"/>
    </row>
    <row r="6" spans="1:13">
      <c r="A6" s="7">
        <v>6618</v>
      </c>
      <c r="B6" s="7" t="s">
        <v>691</v>
      </c>
      <c r="C6" s="7">
        <v>20</v>
      </c>
      <c r="D6" s="7">
        <v>1.2</v>
      </c>
      <c r="E6" s="7">
        <f>C6*D6</f>
        <v>24</v>
      </c>
      <c r="F6" s="7" t="s">
        <v>570</v>
      </c>
      <c r="M6" s="41"/>
    </row>
    <row r="7" spans="3:13">
      <c r="C7" s="8" t="s">
        <v>18</v>
      </c>
      <c r="D7" s="8"/>
      <c r="E7" s="8">
        <f>SUM(E5:E6)</f>
        <v>48</v>
      </c>
      <c r="M7" s="40"/>
    </row>
    <row r="8" spans="13:13">
      <c r="M8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D5" sqref="D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692</v>
      </c>
      <c r="B1" s="1"/>
      <c r="C1" s="1"/>
      <c r="D1" s="1" t="s">
        <v>672</v>
      </c>
      <c r="E1" s="1"/>
      <c r="F1" s="1"/>
    </row>
    <row r="2" spans="1:6">
      <c r="A2" s="2" t="s">
        <v>56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6419</v>
      </c>
      <c r="B5" s="7" t="s">
        <v>423</v>
      </c>
      <c r="C5" s="7">
        <v>100</v>
      </c>
      <c r="D5" s="7">
        <v>2710</v>
      </c>
      <c r="E5" s="7">
        <f>C5*D5</f>
        <v>271000</v>
      </c>
      <c r="F5" s="27" t="s">
        <v>611</v>
      </c>
      <c r="M5" s="41"/>
    </row>
    <row r="6" spans="1:13">
      <c r="A6" s="27">
        <v>6437</v>
      </c>
      <c r="B6" s="7" t="s">
        <v>424</v>
      </c>
      <c r="C6" s="7">
        <v>100</v>
      </c>
      <c r="D6" s="7">
        <v>2710</v>
      </c>
      <c r="E6" s="7">
        <f>C6*D6</f>
        <v>271000</v>
      </c>
      <c r="F6" s="7" t="s">
        <v>611</v>
      </c>
      <c r="M6" s="41"/>
    </row>
    <row r="7" spans="1:13">
      <c r="A7" s="27">
        <v>6440</v>
      </c>
      <c r="B7" s="7" t="s">
        <v>425</v>
      </c>
      <c r="C7" s="7">
        <v>100</v>
      </c>
      <c r="D7" s="7">
        <v>2710</v>
      </c>
      <c r="E7" s="7">
        <f>C7*D7</f>
        <v>271000</v>
      </c>
      <c r="F7" s="7" t="s">
        <v>611</v>
      </c>
      <c r="M7" s="41"/>
    </row>
    <row r="8" spans="1:13">
      <c r="A8" s="27">
        <v>6438</v>
      </c>
      <c r="B8" s="7" t="s">
        <v>427</v>
      </c>
      <c r="C8" s="7">
        <v>100</v>
      </c>
      <c r="D8" s="7">
        <v>2710</v>
      </c>
      <c r="E8" s="7">
        <f>C8*D8</f>
        <v>271000</v>
      </c>
      <c r="F8" s="7" t="s">
        <v>611</v>
      </c>
      <c r="M8" s="41"/>
    </row>
    <row r="9" spans="1:13">
      <c r="A9" s="27">
        <v>6428</v>
      </c>
      <c r="B9" s="7" t="s">
        <v>426</v>
      </c>
      <c r="C9" s="7">
        <v>100</v>
      </c>
      <c r="D9" s="7">
        <v>2710</v>
      </c>
      <c r="E9" s="7">
        <f>C9*D9</f>
        <v>271000</v>
      </c>
      <c r="F9" s="7" t="s">
        <v>611</v>
      </c>
      <c r="M9" s="41"/>
    </row>
    <row r="10" spans="3:13">
      <c r="C10" s="8" t="s">
        <v>18</v>
      </c>
      <c r="D10" s="8"/>
      <c r="E10" s="8">
        <f>SUM(E5:E9)</f>
        <v>1355000</v>
      </c>
      <c r="M10" s="40"/>
    </row>
    <row r="11" spans="13:13">
      <c r="M11" s="12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D9" sqref="D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693</v>
      </c>
      <c r="B1" s="1"/>
      <c r="C1" s="1"/>
      <c r="D1" s="1" t="s">
        <v>672</v>
      </c>
      <c r="E1" s="1"/>
      <c r="F1" s="1"/>
    </row>
    <row r="2" spans="1:6">
      <c r="A2" s="2" t="s">
        <v>302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6419</v>
      </c>
      <c r="B5" s="7" t="s">
        <v>423</v>
      </c>
      <c r="C5" s="7">
        <v>70</v>
      </c>
      <c r="D5" s="7">
        <v>2730</v>
      </c>
      <c r="E5" s="7">
        <f t="shared" ref="E5:E9" si="0">C5*D5</f>
        <v>191100</v>
      </c>
      <c r="F5" s="27" t="s">
        <v>611</v>
      </c>
      <c r="M5" s="41"/>
    </row>
    <row r="6" spans="1:13">
      <c r="A6" s="27">
        <v>6437</v>
      </c>
      <c r="B6" s="7" t="s">
        <v>424</v>
      </c>
      <c r="C6" s="7">
        <v>70</v>
      </c>
      <c r="D6" s="7">
        <v>2730</v>
      </c>
      <c r="E6" s="7">
        <f t="shared" si="0"/>
        <v>191100</v>
      </c>
      <c r="F6" s="7" t="s">
        <v>611</v>
      </c>
      <c r="M6" s="41"/>
    </row>
    <row r="7" spans="1:13">
      <c r="A7" s="27">
        <v>6440</v>
      </c>
      <c r="B7" s="7" t="s">
        <v>425</v>
      </c>
      <c r="C7" s="7">
        <v>70</v>
      </c>
      <c r="D7" s="7">
        <v>2730</v>
      </c>
      <c r="E7" s="7">
        <f t="shared" si="0"/>
        <v>191100</v>
      </c>
      <c r="F7" s="7" t="s">
        <v>611</v>
      </c>
      <c r="M7" s="41"/>
    </row>
    <row r="8" spans="1:13">
      <c r="A8" s="27">
        <v>6438</v>
      </c>
      <c r="B8" s="7" t="s">
        <v>427</v>
      </c>
      <c r="C8" s="7">
        <v>70</v>
      </c>
      <c r="D8" s="7">
        <v>2730</v>
      </c>
      <c r="E8" s="7">
        <f t="shared" si="0"/>
        <v>191100</v>
      </c>
      <c r="F8" s="7" t="s">
        <v>611</v>
      </c>
      <c r="M8" s="41"/>
    </row>
    <row r="9" spans="1:13">
      <c r="A9" s="27">
        <v>6428</v>
      </c>
      <c r="B9" s="7" t="s">
        <v>426</v>
      </c>
      <c r="C9" s="7">
        <v>70</v>
      </c>
      <c r="D9" s="7">
        <v>2730</v>
      </c>
      <c r="E9" s="7">
        <f t="shared" si="0"/>
        <v>191100</v>
      </c>
      <c r="F9" s="7" t="s">
        <v>611</v>
      </c>
      <c r="M9" s="41"/>
    </row>
    <row r="10" spans="3:13">
      <c r="C10" s="8" t="s">
        <v>18</v>
      </c>
      <c r="D10" s="8"/>
      <c r="E10" s="8">
        <f>SUM(E5:E9)</f>
        <v>955500</v>
      </c>
      <c r="M10" s="40"/>
    </row>
    <row r="11" spans="13:13">
      <c r="M11" s="12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I21" sqref="I21"/>
    </sheetView>
  </sheetViews>
  <sheetFormatPr defaultColWidth="9" defaultRowHeight="14.25" outlineLevelRow="6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694</v>
      </c>
      <c r="B1" s="1"/>
      <c r="C1" s="1"/>
      <c r="D1" s="1" t="s">
        <v>672</v>
      </c>
      <c r="E1" s="1"/>
      <c r="F1" s="1"/>
    </row>
    <row r="2" spans="1:6">
      <c r="A2" s="2" t="s">
        <v>695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6444</v>
      </c>
      <c r="B5" s="7" t="s">
        <v>428</v>
      </c>
      <c r="C5" s="7">
        <v>100</v>
      </c>
      <c r="D5" s="7">
        <v>2710</v>
      </c>
      <c r="E5" s="7">
        <f>C5*D5</f>
        <v>271000</v>
      </c>
      <c r="F5" s="27" t="s">
        <v>611</v>
      </c>
      <c r="M5" s="41"/>
    </row>
    <row r="6" spans="3:13">
      <c r="C6" s="8" t="s">
        <v>18</v>
      </c>
      <c r="D6" s="8"/>
      <c r="E6" s="8">
        <f>SUM(E5:E5)</f>
        <v>271000</v>
      </c>
      <c r="M6" s="40"/>
    </row>
    <row r="7" spans="13:13">
      <c r="M7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F27" sqref="F27"/>
    </sheetView>
  </sheetViews>
  <sheetFormatPr defaultColWidth="9" defaultRowHeight="14.25" outlineLevelRow="6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696</v>
      </c>
      <c r="B1" s="1"/>
      <c r="C1" s="1"/>
      <c r="D1" s="1" t="s">
        <v>672</v>
      </c>
      <c r="E1" s="1"/>
      <c r="F1" s="1"/>
    </row>
    <row r="2" spans="1:6">
      <c r="A2" s="2" t="s">
        <v>697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3">
      <c r="A5" s="27">
        <v>6444</v>
      </c>
      <c r="B5" s="7" t="s">
        <v>428</v>
      </c>
      <c r="C5" s="7">
        <v>70</v>
      </c>
      <c r="D5" s="7">
        <v>2730</v>
      </c>
      <c r="E5" s="7">
        <f>C5*D5</f>
        <v>191100</v>
      </c>
      <c r="F5" s="27" t="s">
        <v>611</v>
      </c>
      <c r="M5" s="41"/>
    </row>
    <row r="6" spans="3:13">
      <c r="C6" s="8" t="s">
        <v>18</v>
      </c>
      <c r="D6" s="8"/>
      <c r="E6" s="8">
        <f>SUM(E5:E5)</f>
        <v>191100</v>
      </c>
      <c r="M6" s="40"/>
    </row>
    <row r="7" spans="13:13">
      <c r="M7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E17" sqref="E17"/>
    </sheetView>
  </sheetViews>
  <sheetFormatPr defaultColWidth="9" defaultRowHeight="14.25" outlineLevelRow="7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698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6693</v>
      </c>
      <c r="B5" s="7" t="s">
        <v>155</v>
      </c>
      <c r="C5" s="7">
        <v>450</v>
      </c>
      <c r="D5" s="7">
        <v>2757</v>
      </c>
      <c r="E5" s="7">
        <f>C5*D5</f>
        <v>1240650</v>
      </c>
      <c r="F5" s="7" t="s">
        <v>212</v>
      </c>
    </row>
    <row r="6" spans="1:13">
      <c r="A6" s="16">
        <v>6396</v>
      </c>
      <c r="B6" s="7" t="s">
        <v>140</v>
      </c>
      <c r="C6" s="7">
        <v>450</v>
      </c>
      <c r="D6" s="7">
        <v>2757</v>
      </c>
      <c r="E6" s="7">
        <f>C6*D6</f>
        <v>1240650</v>
      </c>
      <c r="F6" s="27" t="s">
        <v>652</v>
      </c>
      <c r="M6" s="41"/>
    </row>
    <row r="7" spans="3:13">
      <c r="C7" s="8" t="s">
        <v>18</v>
      </c>
      <c r="D7" s="8"/>
      <c r="E7" s="8">
        <f>SUM(E5:E6)</f>
        <v>2481300</v>
      </c>
      <c r="M7" s="40"/>
    </row>
    <row r="8" spans="13:13">
      <c r="M8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E20" sqref="E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700</v>
      </c>
      <c r="B1" s="1"/>
      <c r="C1" s="1"/>
      <c r="D1" s="1" t="s">
        <v>699</v>
      </c>
      <c r="E1" s="1"/>
      <c r="F1" s="1"/>
    </row>
    <row r="2" spans="1:6">
      <c r="A2" s="2" t="s">
        <v>701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6669</v>
      </c>
      <c r="B5" s="17" t="s">
        <v>702</v>
      </c>
      <c r="C5" s="7">
        <v>50</v>
      </c>
      <c r="D5" s="7">
        <v>1.2</v>
      </c>
      <c r="E5" s="7">
        <f>C5*D5</f>
        <v>60</v>
      </c>
      <c r="F5" s="7" t="s">
        <v>570</v>
      </c>
    </row>
    <row r="6" spans="1:6">
      <c r="A6" s="7">
        <v>6670</v>
      </c>
      <c r="B6" s="17" t="s">
        <v>703</v>
      </c>
      <c r="C6" s="7">
        <v>50</v>
      </c>
      <c r="D6" s="7">
        <v>1.2</v>
      </c>
      <c r="E6" s="7">
        <f t="shared" ref="E6:E12" si="0">C6*D6</f>
        <v>60</v>
      </c>
      <c r="F6" s="7" t="s">
        <v>570</v>
      </c>
    </row>
    <row r="7" spans="1:6">
      <c r="A7" s="7">
        <v>6674</v>
      </c>
      <c r="B7" s="17" t="s">
        <v>120</v>
      </c>
      <c r="C7" s="7">
        <v>50</v>
      </c>
      <c r="D7" s="7">
        <v>1.2</v>
      </c>
      <c r="E7" s="7">
        <f t="shared" si="0"/>
        <v>60</v>
      </c>
      <c r="F7" s="7" t="s">
        <v>570</v>
      </c>
    </row>
    <row r="8" spans="1:6">
      <c r="A8" s="7">
        <v>6676</v>
      </c>
      <c r="B8" s="17" t="s">
        <v>123</v>
      </c>
      <c r="C8" s="7">
        <v>50</v>
      </c>
      <c r="D8" s="7">
        <v>1.2</v>
      </c>
      <c r="E8" s="7">
        <f t="shared" si="0"/>
        <v>60</v>
      </c>
      <c r="F8" s="7" t="s">
        <v>570</v>
      </c>
    </row>
    <row r="9" spans="1:6">
      <c r="A9" s="7">
        <v>6673</v>
      </c>
      <c r="B9" s="17" t="s">
        <v>122</v>
      </c>
      <c r="C9" s="7">
        <v>50</v>
      </c>
      <c r="D9" s="7">
        <v>1.2</v>
      </c>
      <c r="E9" s="7">
        <f t="shared" si="0"/>
        <v>60</v>
      </c>
      <c r="F9" s="7" t="s">
        <v>570</v>
      </c>
    </row>
    <row r="10" spans="1:6">
      <c r="A10" s="7">
        <v>6672</v>
      </c>
      <c r="B10" s="17" t="s">
        <v>184</v>
      </c>
      <c r="C10" s="7">
        <v>50</v>
      </c>
      <c r="D10" s="7">
        <v>1.2</v>
      </c>
      <c r="E10" s="7">
        <f t="shared" si="0"/>
        <v>60</v>
      </c>
      <c r="F10" s="7" t="s">
        <v>570</v>
      </c>
    </row>
    <row r="11" spans="1:6">
      <c r="A11" s="7">
        <v>6675</v>
      </c>
      <c r="B11" s="17" t="s">
        <v>121</v>
      </c>
      <c r="C11" s="7">
        <v>50</v>
      </c>
      <c r="D11" s="7">
        <v>1.2</v>
      </c>
      <c r="E11" s="7">
        <f t="shared" si="0"/>
        <v>60</v>
      </c>
      <c r="F11" s="7" t="s">
        <v>570</v>
      </c>
    </row>
    <row r="12" spans="1:13">
      <c r="A12" s="7">
        <v>6671</v>
      </c>
      <c r="B12" s="17" t="s">
        <v>704</v>
      </c>
      <c r="C12" s="7">
        <v>50</v>
      </c>
      <c r="D12" s="7">
        <v>1.2</v>
      </c>
      <c r="E12" s="7">
        <f t="shared" si="0"/>
        <v>60</v>
      </c>
      <c r="F12" s="7" t="s">
        <v>570</v>
      </c>
      <c r="M12" s="41"/>
    </row>
    <row r="13" spans="3:13">
      <c r="C13" s="8" t="s">
        <v>18</v>
      </c>
      <c r="D13" s="8"/>
      <c r="E13" s="8">
        <f>SUM(E5:E12)</f>
        <v>480</v>
      </c>
      <c r="M13" s="40"/>
    </row>
    <row r="14" spans="13:13">
      <c r="M14" s="12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workbookViewId="0">
      <selection activeCell="E30" sqref="E3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705</v>
      </c>
      <c r="B1" s="1"/>
      <c r="C1" s="1"/>
      <c r="D1" s="1" t="s">
        <v>699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6669</v>
      </c>
      <c r="B5" s="17" t="s">
        <v>702</v>
      </c>
      <c r="C5" s="7">
        <v>350</v>
      </c>
      <c r="D5" s="7">
        <v>1.2</v>
      </c>
      <c r="E5" s="7">
        <f t="shared" ref="E5:E12" si="0">C5*D5</f>
        <v>420</v>
      </c>
      <c r="F5" s="7" t="s">
        <v>570</v>
      </c>
    </row>
    <row r="6" spans="1:6">
      <c r="A6" s="7">
        <v>6670</v>
      </c>
      <c r="B6" s="17" t="s">
        <v>703</v>
      </c>
      <c r="C6" s="7">
        <v>350</v>
      </c>
      <c r="D6" s="7">
        <v>1.2</v>
      </c>
      <c r="E6" s="7">
        <f t="shared" si="0"/>
        <v>420</v>
      </c>
      <c r="F6" s="7" t="s">
        <v>570</v>
      </c>
    </row>
    <row r="7" spans="1:6">
      <c r="A7" s="7">
        <v>6674</v>
      </c>
      <c r="B7" s="17" t="s">
        <v>120</v>
      </c>
      <c r="C7" s="7">
        <v>350</v>
      </c>
      <c r="D7" s="7">
        <v>1.2</v>
      </c>
      <c r="E7" s="7">
        <f t="shared" si="0"/>
        <v>420</v>
      </c>
      <c r="F7" s="7" t="s">
        <v>570</v>
      </c>
    </row>
    <row r="8" spans="1:6">
      <c r="A8" s="7">
        <v>6676</v>
      </c>
      <c r="B8" s="17" t="s">
        <v>123</v>
      </c>
      <c r="C8" s="7">
        <v>350</v>
      </c>
      <c r="D8" s="7">
        <v>1.2</v>
      </c>
      <c r="E8" s="7">
        <f t="shared" si="0"/>
        <v>420</v>
      </c>
      <c r="F8" s="7" t="s">
        <v>570</v>
      </c>
    </row>
    <row r="9" spans="1:6">
      <c r="A9" s="7">
        <v>6673</v>
      </c>
      <c r="B9" s="17" t="s">
        <v>122</v>
      </c>
      <c r="C9" s="7">
        <v>350</v>
      </c>
      <c r="D9" s="7">
        <v>1.2</v>
      </c>
      <c r="E9" s="7">
        <f t="shared" si="0"/>
        <v>420</v>
      </c>
      <c r="F9" s="7" t="s">
        <v>570</v>
      </c>
    </row>
    <row r="10" spans="1:6">
      <c r="A10" s="7">
        <v>6672</v>
      </c>
      <c r="B10" s="17" t="s">
        <v>184</v>
      </c>
      <c r="C10" s="7">
        <v>350</v>
      </c>
      <c r="D10" s="7">
        <v>1.2</v>
      </c>
      <c r="E10" s="7">
        <f t="shared" si="0"/>
        <v>420</v>
      </c>
      <c r="F10" s="7" t="s">
        <v>570</v>
      </c>
    </row>
    <row r="11" spans="1:6">
      <c r="A11" s="7">
        <v>6675</v>
      </c>
      <c r="B11" s="17" t="s">
        <v>121</v>
      </c>
      <c r="C11" s="7">
        <v>350</v>
      </c>
      <c r="D11" s="7">
        <v>1.2</v>
      </c>
      <c r="E11" s="7">
        <f t="shared" si="0"/>
        <v>420</v>
      </c>
      <c r="F11" s="7" t="s">
        <v>570</v>
      </c>
    </row>
    <row r="12" spans="1:13">
      <c r="A12" s="7">
        <v>6671</v>
      </c>
      <c r="B12" s="17" t="s">
        <v>704</v>
      </c>
      <c r="C12" s="7">
        <v>350</v>
      </c>
      <c r="D12" s="7">
        <v>1.2</v>
      </c>
      <c r="E12" s="7">
        <f t="shared" si="0"/>
        <v>420</v>
      </c>
      <c r="F12" s="7" t="s">
        <v>570</v>
      </c>
      <c r="M12" s="41"/>
    </row>
    <row r="13" spans="3:13">
      <c r="C13" s="8" t="s">
        <v>18</v>
      </c>
      <c r="D13" s="8"/>
      <c r="E13" s="8">
        <f>SUM(E5:E12)</f>
        <v>3360</v>
      </c>
      <c r="M13" s="40"/>
    </row>
    <row r="14" spans="13:13">
      <c r="M14" s="12"/>
    </row>
    <row r="18" spans="19:20">
      <c r="S18" s="7"/>
      <c r="T18" t="s">
        <v>58</v>
      </c>
    </row>
    <row r="19" spans="20:20">
      <c r="T19" t="s">
        <v>454</v>
      </c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H32" sqref="H3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706</v>
      </c>
      <c r="B1" s="1"/>
      <c r="C1" s="1"/>
      <c r="D1" s="1" t="s">
        <v>699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6521</v>
      </c>
      <c r="B5" s="17" t="s">
        <v>435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3:13">
      <c r="C6" s="8" t="s">
        <v>18</v>
      </c>
      <c r="D6" s="8"/>
      <c r="E6" s="8">
        <f>SUM(E5:E5)</f>
        <v>287500</v>
      </c>
      <c r="M6" s="40"/>
    </row>
    <row r="7" spans="13:13">
      <c r="M7" s="12"/>
    </row>
    <row r="9" spans="16:17">
      <c r="P9" s="12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2"/>
      <c r="Q20" s="12"/>
    </row>
    <row r="21" spans="16:17">
      <c r="P21" s="39"/>
      <c r="Q21" s="12"/>
    </row>
    <row r="22" spans="16:17">
      <c r="P22" s="12"/>
      <c r="Q22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F31" sqref="F3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707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6521</v>
      </c>
      <c r="B5" s="17" t="s">
        <v>435</v>
      </c>
      <c r="C5" s="7">
        <v>400</v>
      </c>
      <c r="D5" s="7">
        <v>2757</v>
      </c>
      <c r="E5" s="7">
        <f>C5*D5</f>
        <v>1102800</v>
      </c>
      <c r="F5" s="7" t="s">
        <v>570</v>
      </c>
    </row>
    <row r="6" spans="3:13">
      <c r="C6" s="8" t="s">
        <v>18</v>
      </c>
      <c r="D6" s="8"/>
      <c r="E6" s="8">
        <f>SUM(E5:E5)</f>
        <v>1102800</v>
      </c>
      <c r="M6" s="40"/>
    </row>
    <row r="7" spans="13:13">
      <c r="M7" s="12"/>
    </row>
    <row r="9" spans="16:17">
      <c r="P9" s="12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2"/>
      <c r="Q20" s="12"/>
    </row>
    <row r="21" spans="16:17">
      <c r="P21" s="39"/>
      <c r="Q21" s="12"/>
    </row>
    <row r="22" spans="16:17">
      <c r="P22" s="12"/>
      <c r="Q22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F26" sqref="F2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708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6521</v>
      </c>
      <c r="B5" s="17" t="s">
        <v>223</v>
      </c>
      <c r="C5" s="7">
        <v>450</v>
      </c>
      <c r="D5" s="7">
        <v>2757</v>
      </c>
      <c r="E5" s="7">
        <f>C5*D5</f>
        <v>1240650</v>
      </c>
      <c r="F5" s="7" t="s">
        <v>212</v>
      </c>
    </row>
    <row r="6" spans="3:13">
      <c r="C6" s="8" t="s">
        <v>18</v>
      </c>
      <c r="D6" s="8"/>
      <c r="E6" s="8">
        <f>SUM(E5:E5)</f>
        <v>1240650</v>
      </c>
      <c r="M6" s="40"/>
    </row>
    <row r="7" spans="13:13">
      <c r="M7" s="12"/>
    </row>
    <row r="9" spans="16:17">
      <c r="P9" s="12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2"/>
      <c r="Q20" s="12"/>
    </row>
    <row r="21" spans="16:17">
      <c r="P21" s="39"/>
      <c r="Q21" s="12"/>
    </row>
    <row r="22" spans="16:17">
      <c r="P22" s="12"/>
      <c r="Q22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G31" sqref="G3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709</v>
      </c>
      <c r="B1" s="1"/>
      <c r="C1" s="1"/>
      <c r="D1" s="1" t="s">
        <v>699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6547</v>
      </c>
      <c r="B5" s="7" t="s">
        <v>37</v>
      </c>
      <c r="C5" s="7">
        <v>600</v>
      </c>
      <c r="D5" s="7">
        <v>1.2</v>
      </c>
      <c r="E5" s="7">
        <f>C5*D5</f>
        <v>720</v>
      </c>
      <c r="F5" s="7" t="s">
        <v>655</v>
      </c>
    </row>
    <row r="6" spans="1:6">
      <c r="A6" s="7">
        <v>6583</v>
      </c>
      <c r="B6" s="7" t="s">
        <v>527</v>
      </c>
      <c r="C6" s="7">
        <v>560</v>
      </c>
      <c r="D6" s="7">
        <v>1.2</v>
      </c>
      <c r="E6" s="7">
        <f t="shared" ref="E6:E14" si="0">C6*D6</f>
        <v>672</v>
      </c>
      <c r="F6" s="7" t="s">
        <v>655</v>
      </c>
    </row>
    <row r="7" spans="1:6">
      <c r="A7" s="7">
        <v>6586</v>
      </c>
      <c r="B7" s="7" t="s">
        <v>518</v>
      </c>
      <c r="C7" s="7">
        <v>560</v>
      </c>
      <c r="D7" s="7">
        <v>1.2</v>
      </c>
      <c r="E7" s="7">
        <f t="shared" si="0"/>
        <v>672</v>
      </c>
      <c r="F7" s="7" t="s">
        <v>655</v>
      </c>
    </row>
    <row r="8" spans="1:6">
      <c r="A8" s="7">
        <v>6551</v>
      </c>
      <c r="B8" s="7" t="s">
        <v>116</v>
      </c>
      <c r="C8" s="7">
        <v>560</v>
      </c>
      <c r="D8" s="7">
        <v>1.2</v>
      </c>
      <c r="E8" s="7">
        <f t="shared" si="0"/>
        <v>672</v>
      </c>
      <c r="F8" s="7" t="s">
        <v>655</v>
      </c>
    </row>
    <row r="9" spans="1:6">
      <c r="A9" s="7">
        <v>6584</v>
      </c>
      <c r="B9" s="7" t="s">
        <v>519</v>
      </c>
      <c r="C9" s="7">
        <v>560</v>
      </c>
      <c r="D9" s="7">
        <v>1.2</v>
      </c>
      <c r="E9" s="7">
        <f t="shared" si="0"/>
        <v>672</v>
      </c>
      <c r="F9" s="7" t="s">
        <v>655</v>
      </c>
    </row>
    <row r="10" spans="1:6">
      <c r="A10" s="7">
        <v>6499</v>
      </c>
      <c r="B10" s="7" t="s">
        <v>526</v>
      </c>
      <c r="C10" s="7">
        <v>500</v>
      </c>
      <c r="D10" s="7">
        <v>1.2</v>
      </c>
      <c r="E10" s="7">
        <f t="shared" si="0"/>
        <v>600</v>
      </c>
      <c r="F10" s="7" t="s">
        <v>212</v>
      </c>
    </row>
    <row r="11" spans="1:6">
      <c r="A11" s="7">
        <v>6686</v>
      </c>
      <c r="B11" s="7" t="s">
        <v>132</v>
      </c>
      <c r="C11" s="7">
        <v>460</v>
      </c>
      <c r="D11" s="7">
        <v>1.2</v>
      </c>
      <c r="E11" s="7">
        <f t="shared" si="0"/>
        <v>552</v>
      </c>
      <c r="F11" s="7" t="s">
        <v>212</v>
      </c>
    </row>
    <row r="12" spans="1:6">
      <c r="A12" s="7">
        <v>6690</v>
      </c>
      <c r="B12" s="7" t="s">
        <v>147</v>
      </c>
      <c r="C12" s="7">
        <v>460</v>
      </c>
      <c r="D12" s="7">
        <v>1.2</v>
      </c>
      <c r="E12" s="7">
        <f t="shared" si="0"/>
        <v>552</v>
      </c>
      <c r="F12" s="7" t="s">
        <v>212</v>
      </c>
    </row>
    <row r="13" spans="1:6">
      <c r="A13" s="7">
        <v>6688</v>
      </c>
      <c r="B13" s="7" t="s">
        <v>139</v>
      </c>
      <c r="C13" s="7">
        <v>500</v>
      </c>
      <c r="D13" s="7">
        <v>1.2</v>
      </c>
      <c r="E13" s="7">
        <f t="shared" si="0"/>
        <v>600</v>
      </c>
      <c r="F13" s="7" t="s">
        <v>212</v>
      </c>
    </row>
    <row r="14" spans="1:6">
      <c r="A14" s="27">
        <v>6190</v>
      </c>
      <c r="B14" s="7" t="s">
        <v>520</v>
      </c>
      <c r="C14" s="7">
        <v>560</v>
      </c>
      <c r="D14" s="7">
        <v>1.2</v>
      </c>
      <c r="E14" s="7">
        <f t="shared" si="0"/>
        <v>672</v>
      </c>
      <c r="F14" s="7" t="s">
        <v>654</v>
      </c>
    </row>
    <row r="15" spans="3:13">
      <c r="C15" s="8" t="s">
        <v>18</v>
      </c>
      <c r="D15" s="8"/>
      <c r="E15" s="8">
        <f>SUM(E5:E14)</f>
        <v>6384</v>
      </c>
      <c r="M15" s="40"/>
    </row>
    <row r="16" spans="13:13">
      <c r="M16" s="12"/>
    </row>
    <row r="18" spans="16:17">
      <c r="P18" s="12"/>
      <c r="Q18" s="12"/>
    </row>
    <row r="19" spans="16:17">
      <c r="P19" s="13"/>
      <c r="Q19" s="12"/>
    </row>
    <row r="20" spans="16:17">
      <c r="P20" s="13"/>
      <c r="Q20" s="12"/>
    </row>
    <row r="21" spans="16:17">
      <c r="P21" s="13"/>
      <c r="Q21" s="12"/>
    </row>
    <row r="22" spans="16:17">
      <c r="P22" s="13"/>
      <c r="Q22" s="12"/>
    </row>
    <row r="23" spans="16:17">
      <c r="P23" s="13"/>
      <c r="Q23" s="12"/>
    </row>
    <row r="24" spans="16:17">
      <c r="P24" s="13"/>
      <c r="Q24" s="12"/>
    </row>
    <row r="25" spans="16:17">
      <c r="P25" s="13"/>
      <c r="Q25" s="12"/>
    </row>
    <row r="26" spans="16:17">
      <c r="P26" s="13"/>
      <c r="Q26" s="12"/>
    </row>
    <row r="27" spans="16:17">
      <c r="P27" s="13"/>
      <c r="Q27" s="12"/>
    </row>
    <row r="28" spans="16:17">
      <c r="P28" s="13"/>
      <c r="Q28" s="12"/>
    </row>
    <row r="29" spans="16:17">
      <c r="P29" s="12"/>
      <c r="Q29" s="12"/>
    </row>
    <row r="30" spans="16:17">
      <c r="P30" s="39"/>
      <c r="Q30" s="12"/>
    </row>
    <row r="31" spans="16:17">
      <c r="P31" s="12"/>
      <c r="Q31" s="12"/>
    </row>
  </sheetData>
  <mergeCells count="6">
    <mergeCell ref="A1:C1"/>
    <mergeCell ref="D1:F1"/>
    <mergeCell ref="A2:C2"/>
    <mergeCell ref="D2:F2"/>
    <mergeCell ref="A3:F3"/>
    <mergeCell ref="C15:D15"/>
  </mergeCells>
  <pageMargins left="0.7" right="0.7" top="0.75" bottom="0.75" header="0.3" footer="0.3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G18" sqref="G1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710</v>
      </c>
      <c r="B1" s="1"/>
      <c r="C1" s="1"/>
      <c r="D1" s="1" t="s">
        <v>699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6521</v>
      </c>
      <c r="B5" s="7" t="s">
        <v>711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3:13">
      <c r="C6" s="8" t="s">
        <v>18</v>
      </c>
      <c r="D6" s="8"/>
      <c r="E6" s="8">
        <f>SUM(E5:E5)</f>
        <v>287500</v>
      </c>
      <c r="M6" s="40"/>
    </row>
    <row r="7" spans="13:13">
      <c r="M7" s="12"/>
    </row>
    <row r="9" spans="16:17">
      <c r="P9" s="12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2"/>
      <c r="Q20" s="12"/>
    </row>
    <row r="21" spans="16:17">
      <c r="P21" s="39"/>
      <c r="Q21" s="12"/>
    </row>
    <row r="22" spans="16:17">
      <c r="P22" s="12"/>
      <c r="Q22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I22" sqref="I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712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6521</v>
      </c>
      <c r="B5" s="7" t="s">
        <v>711</v>
      </c>
      <c r="C5" s="7">
        <v>400</v>
      </c>
      <c r="D5" s="7">
        <v>2757</v>
      </c>
      <c r="E5" s="7">
        <f>C5*D5</f>
        <v>1102800</v>
      </c>
      <c r="F5" s="7" t="s">
        <v>570</v>
      </c>
    </row>
    <row r="6" spans="3:13">
      <c r="C6" s="8" t="s">
        <v>18</v>
      </c>
      <c r="D6" s="8"/>
      <c r="E6" s="8">
        <f>SUM(E5:E5)</f>
        <v>1102800</v>
      </c>
      <c r="M6" s="40"/>
    </row>
    <row r="7" spans="13:13">
      <c r="M7" s="12"/>
    </row>
    <row r="9" spans="16:17">
      <c r="P9" s="12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2"/>
      <c r="Q20" s="12"/>
    </row>
    <row r="21" spans="16:17">
      <c r="P21" s="39"/>
      <c r="Q21" s="12"/>
    </row>
    <row r="22" spans="16:17">
      <c r="P22" s="12"/>
      <c r="Q22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D5" sqref="D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713</v>
      </c>
      <c r="B1" s="1"/>
      <c r="C1" s="1"/>
      <c r="D1" s="1" t="s">
        <v>699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6520</v>
      </c>
      <c r="B5" s="7" t="s">
        <v>462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3:13">
      <c r="C6" s="8" t="s">
        <v>18</v>
      </c>
      <c r="D6" s="8"/>
      <c r="E6" s="8">
        <f>SUM(E5:E5)</f>
        <v>287500</v>
      </c>
      <c r="M6" s="40"/>
    </row>
    <row r="7" spans="13:13">
      <c r="M7" s="12"/>
    </row>
    <row r="9" spans="16:17">
      <c r="P9" s="12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2"/>
      <c r="Q20" s="12"/>
    </row>
    <row r="21" spans="16:17">
      <c r="P21" s="39"/>
      <c r="Q21" s="12"/>
    </row>
    <row r="22" spans="16:17">
      <c r="P22" s="12"/>
      <c r="Q22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I27" sqref="I2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714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6520</v>
      </c>
      <c r="B5" s="7" t="s">
        <v>462</v>
      </c>
      <c r="C5" s="7">
        <v>400</v>
      </c>
      <c r="D5" s="7">
        <v>2757</v>
      </c>
      <c r="E5" s="7">
        <f>C5*D5</f>
        <v>1102800</v>
      </c>
      <c r="F5" s="7" t="s">
        <v>570</v>
      </c>
    </row>
    <row r="6" spans="3:13">
      <c r="C6" s="8" t="s">
        <v>18</v>
      </c>
      <c r="D6" s="8"/>
      <c r="E6" s="8">
        <f>SUM(E5:E5)</f>
        <v>1102800</v>
      </c>
      <c r="M6" s="40"/>
    </row>
    <row r="7" spans="13:13">
      <c r="M7" s="12"/>
    </row>
    <row r="9" spans="16:17">
      <c r="P9" s="12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2"/>
      <c r="Q20" s="12"/>
    </row>
    <row r="21" spans="16:17">
      <c r="P21" s="39"/>
      <c r="Q21" s="12"/>
    </row>
    <row r="22" spans="16:17">
      <c r="P22" s="12"/>
      <c r="Q22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E36" sqref="E3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715</v>
      </c>
      <c r="B1" s="1"/>
      <c r="C1" s="1"/>
      <c r="D1" s="1" t="s">
        <v>699</v>
      </c>
      <c r="E1" s="1"/>
      <c r="F1" s="1"/>
    </row>
    <row r="2" spans="1:6">
      <c r="A2" s="2" t="s">
        <v>76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6660</v>
      </c>
      <c r="B5" s="7" t="s">
        <v>168</v>
      </c>
      <c r="C5" s="7">
        <v>50</v>
      </c>
      <c r="D5" s="7">
        <v>1.2</v>
      </c>
      <c r="E5" s="7">
        <f>C5*D5</f>
        <v>60</v>
      </c>
      <c r="F5" s="7" t="s">
        <v>716</v>
      </c>
    </row>
    <row r="6" spans="1:6">
      <c r="A6" s="7">
        <v>6664</v>
      </c>
      <c r="B6" s="7" t="s">
        <v>171</v>
      </c>
      <c r="C6" s="7">
        <v>50</v>
      </c>
      <c r="D6" s="7">
        <v>1.2</v>
      </c>
      <c r="E6" s="7">
        <f t="shared" ref="E6:E13" si="0">C6*D6</f>
        <v>60</v>
      </c>
      <c r="F6" s="7" t="s">
        <v>716</v>
      </c>
    </row>
    <row r="7" spans="1:6">
      <c r="A7" s="7">
        <v>6661</v>
      </c>
      <c r="B7" s="7" t="s">
        <v>170</v>
      </c>
      <c r="C7" s="7">
        <v>50</v>
      </c>
      <c r="D7" s="7">
        <v>1.2</v>
      </c>
      <c r="E7" s="7">
        <f t="shared" si="0"/>
        <v>60</v>
      </c>
      <c r="F7" s="7" t="s">
        <v>716</v>
      </c>
    </row>
    <row r="8" spans="1:6">
      <c r="A8" s="7">
        <v>6657</v>
      </c>
      <c r="B8" s="7" t="s">
        <v>179</v>
      </c>
      <c r="C8" s="7">
        <v>50</v>
      </c>
      <c r="D8" s="7">
        <v>1.2</v>
      </c>
      <c r="E8" s="7">
        <f t="shared" si="0"/>
        <v>60</v>
      </c>
      <c r="F8" s="7" t="s">
        <v>716</v>
      </c>
    </row>
    <row r="9" spans="1:6">
      <c r="A9" s="7">
        <v>6658</v>
      </c>
      <c r="B9" s="7" t="s">
        <v>106</v>
      </c>
      <c r="C9" s="7">
        <v>50</v>
      </c>
      <c r="D9" s="7">
        <v>1.2</v>
      </c>
      <c r="E9" s="7">
        <f t="shared" si="0"/>
        <v>60</v>
      </c>
      <c r="F9" s="7" t="s">
        <v>716</v>
      </c>
    </row>
    <row r="10" spans="1:6">
      <c r="A10" s="7">
        <v>6659</v>
      </c>
      <c r="B10" s="7" t="s">
        <v>105</v>
      </c>
      <c r="C10" s="7">
        <v>50</v>
      </c>
      <c r="D10" s="7">
        <v>1.2</v>
      </c>
      <c r="E10" s="7">
        <f t="shared" si="0"/>
        <v>60</v>
      </c>
      <c r="F10" s="7" t="s">
        <v>716</v>
      </c>
    </row>
    <row r="11" spans="1:6">
      <c r="A11" s="7">
        <v>6656</v>
      </c>
      <c r="B11" s="7" t="s">
        <v>176</v>
      </c>
      <c r="C11" s="7">
        <v>50</v>
      </c>
      <c r="D11" s="7">
        <v>1.2</v>
      </c>
      <c r="E11" s="7">
        <f t="shared" si="0"/>
        <v>60</v>
      </c>
      <c r="F11" s="7" t="s">
        <v>716</v>
      </c>
    </row>
    <row r="12" spans="1:6">
      <c r="A12" s="7">
        <v>6663</v>
      </c>
      <c r="B12" s="7" t="s">
        <v>94</v>
      </c>
      <c r="C12" s="7">
        <v>50</v>
      </c>
      <c r="D12" s="7">
        <v>1.2</v>
      </c>
      <c r="E12" s="7">
        <f t="shared" si="0"/>
        <v>60</v>
      </c>
      <c r="F12" s="7" t="s">
        <v>716</v>
      </c>
    </row>
    <row r="13" spans="1:6">
      <c r="A13" s="7">
        <v>6662</v>
      </c>
      <c r="B13" s="7" t="s">
        <v>169</v>
      </c>
      <c r="C13" s="7">
        <v>50</v>
      </c>
      <c r="D13" s="7">
        <v>1.2</v>
      </c>
      <c r="E13" s="7">
        <f t="shared" si="0"/>
        <v>60</v>
      </c>
      <c r="F13" s="7" t="s">
        <v>716</v>
      </c>
    </row>
    <row r="14" spans="3:13">
      <c r="C14" s="8" t="s">
        <v>18</v>
      </c>
      <c r="D14" s="8"/>
      <c r="E14" s="8">
        <f>SUM(E5:E13)</f>
        <v>540</v>
      </c>
      <c r="M14" s="40"/>
    </row>
    <row r="15" spans="13:13">
      <c r="M15" s="12"/>
    </row>
    <row r="17" spans="16:17">
      <c r="P17" s="12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3"/>
      <c r="Q20" s="12"/>
    </row>
    <row r="21" spans="16:17">
      <c r="P21" s="13"/>
      <c r="Q21" s="12"/>
    </row>
    <row r="22" spans="16:17">
      <c r="P22" s="13"/>
      <c r="Q22" s="12"/>
    </row>
    <row r="23" spans="16:17">
      <c r="P23" s="13"/>
      <c r="Q23" s="12"/>
    </row>
    <row r="24" spans="16:17">
      <c r="P24" s="13"/>
      <c r="Q24" s="12"/>
    </row>
    <row r="25" spans="16:17">
      <c r="P25" s="13"/>
      <c r="Q25" s="12"/>
    </row>
    <row r="26" spans="16:17">
      <c r="P26" s="13"/>
      <c r="Q26" s="12"/>
    </row>
    <row r="27" spans="16:17">
      <c r="P27" s="13"/>
      <c r="Q27" s="12"/>
    </row>
    <row r="28" spans="16:17">
      <c r="P28" s="12"/>
      <c r="Q28" s="12"/>
    </row>
    <row r="29" spans="16:17">
      <c r="P29" s="39"/>
      <c r="Q29" s="12"/>
    </row>
    <row r="30" spans="16:17">
      <c r="P30" s="12"/>
      <c r="Q30" s="12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J13" sqref="J1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717</v>
      </c>
      <c r="B1" s="1"/>
      <c r="C1" s="1"/>
      <c r="D1" s="1" t="s">
        <v>699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6660</v>
      </c>
      <c r="B5" s="7" t="s">
        <v>168</v>
      </c>
      <c r="C5" s="7">
        <v>350</v>
      </c>
      <c r="D5" s="7">
        <v>1.2</v>
      </c>
      <c r="E5" s="7">
        <f t="shared" ref="E5:E13" si="0">C5*D5</f>
        <v>420</v>
      </c>
      <c r="F5" s="7" t="s">
        <v>718</v>
      </c>
    </row>
    <row r="6" spans="1:6">
      <c r="A6" s="7">
        <v>6664</v>
      </c>
      <c r="B6" s="7" t="s">
        <v>171</v>
      </c>
      <c r="C6" s="7">
        <v>350</v>
      </c>
      <c r="D6" s="7">
        <v>1.2</v>
      </c>
      <c r="E6" s="7">
        <f t="shared" si="0"/>
        <v>420</v>
      </c>
      <c r="F6" s="7" t="s">
        <v>718</v>
      </c>
    </row>
    <row r="7" spans="1:6">
      <c r="A7" s="7">
        <v>6661</v>
      </c>
      <c r="B7" s="7" t="s">
        <v>170</v>
      </c>
      <c r="C7" s="7">
        <v>350</v>
      </c>
      <c r="D7" s="7">
        <v>1.2</v>
      </c>
      <c r="E7" s="7">
        <f t="shared" si="0"/>
        <v>420</v>
      </c>
      <c r="F7" s="7" t="s">
        <v>718</v>
      </c>
    </row>
    <row r="8" spans="1:6">
      <c r="A8" s="7">
        <v>6657</v>
      </c>
      <c r="B8" s="7" t="s">
        <v>179</v>
      </c>
      <c r="C8" s="7">
        <v>350</v>
      </c>
      <c r="D8" s="7">
        <v>1.2</v>
      </c>
      <c r="E8" s="7">
        <f t="shared" si="0"/>
        <v>420</v>
      </c>
      <c r="F8" s="7" t="s">
        <v>718</v>
      </c>
    </row>
    <row r="9" spans="1:6">
      <c r="A9" s="7">
        <v>6658</v>
      </c>
      <c r="B9" s="7" t="s">
        <v>106</v>
      </c>
      <c r="C9" s="7">
        <v>350</v>
      </c>
      <c r="D9" s="7">
        <v>1.2</v>
      </c>
      <c r="E9" s="7">
        <f t="shared" si="0"/>
        <v>420</v>
      </c>
      <c r="F9" s="7" t="s">
        <v>718</v>
      </c>
    </row>
    <row r="10" spans="1:6">
      <c r="A10" s="7">
        <v>6659</v>
      </c>
      <c r="B10" s="7" t="s">
        <v>105</v>
      </c>
      <c r="C10" s="7">
        <v>350</v>
      </c>
      <c r="D10" s="7">
        <v>1.2</v>
      </c>
      <c r="E10" s="7">
        <f t="shared" si="0"/>
        <v>420</v>
      </c>
      <c r="F10" s="7" t="s">
        <v>718</v>
      </c>
    </row>
    <row r="11" spans="1:6">
      <c r="A11" s="7">
        <v>6656</v>
      </c>
      <c r="B11" s="7" t="s">
        <v>176</v>
      </c>
      <c r="C11" s="7">
        <v>350</v>
      </c>
      <c r="D11" s="7">
        <v>1.2</v>
      </c>
      <c r="E11" s="7">
        <f t="shared" si="0"/>
        <v>420</v>
      </c>
      <c r="F11" s="7" t="s">
        <v>718</v>
      </c>
    </row>
    <row r="12" spans="1:6">
      <c r="A12" s="7">
        <v>6663</v>
      </c>
      <c r="B12" s="7" t="s">
        <v>94</v>
      </c>
      <c r="C12" s="7">
        <v>350</v>
      </c>
      <c r="D12" s="7">
        <v>1.2</v>
      </c>
      <c r="E12" s="7">
        <f t="shared" si="0"/>
        <v>420</v>
      </c>
      <c r="F12" s="7" t="s">
        <v>718</v>
      </c>
    </row>
    <row r="13" spans="1:6">
      <c r="A13" s="7">
        <v>6662</v>
      </c>
      <c r="B13" s="7" t="s">
        <v>169</v>
      </c>
      <c r="C13" s="7">
        <v>350</v>
      </c>
      <c r="D13" s="7">
        <v>1.2</v>
      </c>
      <c r="E13" s="7">
        <f t="shared" si="0"/>
        <v>420</v>
      </c>
      <c r="F13" s="7" t="s">
        <v>718</v>
      </c>
    </row>
    <row r="14" spans="3:13">
      <c r="C14" s="8" t="s">
        <v>18</v>
      </c>
      <c r="D14" s="8"/>
      <c r="E14" s="8">
        <f>SUM(E5:E13)</f>
        <v>3780</v>
      </c>
      <c r="M14" s="40"/>
    </row>
    <row r="15" spans="13:13">
      <c r="M15" s="12"/>
    </row>
    <row r="17" spans="16:17">
      <c r="P17" s="12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3"/>
      <c r="Q20" s="12"/>
    </row>
    <row r="21" spans="16:17">
      <c r="P21" s="13"/>
      <c r="Q21" s="12"/>
    </row>
    <row r="22" spans="16:17">
      <c r="P22" s="13"/>
      <c r="Q22" s="12"/>
    </row>
    <row r="23" spans="16:17">
      <c r="P23" s="13"/>
      <c r="Q23" s="12"/>
    </row>
    <row r="24" spans="16:17">
      <c r="P24" s="13"/>
      <c r="Q24" s="12"/>
    </row>
    <row r="25" spans="16:17">
      <c r="P25" s="13"/>
      <c r="Q25" s="12"/>
    </row>
    <row r="26" spans="16:17">
      <c r="P26" s="13"/>
      <c r="Q26" s="12"/>
    </row>
    <row r="27" spans="16:17">
      <c r="P27" s="13"/>
      <c r="Q27" s="12"/>
    </row>
    <row r="28" spans="16:17">
      <c r="P28" s="12"/>
      <c r="Q28" s="12"/>
    </row>
    <row r="29" spans="16:17">
      <c r="P29" s="39"/>
      <c r="Q29" s="12"/>
    </row>
    <row r="30" spans="16:17">
      <c r="P30" s="12"/>
      <c r="Q30" s="12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workbookViewId="0">
      <selection activeCell="G4" sqref="G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719</v>
      </c>
      <c r="B1" s="1"/>
      <c r="C1" s="1"/>
      <c r="D1" s="1" t="s">
        <v>699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6608</v>
      </c>
      <c r="B5" s="7" t="s">
        <v>550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1:6">
      <c r="A6" s="27">
        <v>6615</v>
      </c>
      <c r="B6" s="7" t="s">
        <v>555</v>
      </c>
      <c r="C6" s="7">
        <v>100</v>
      </c>
      <c r="D6" s="7">
        <v>2875</v>
      </c>
      <c r="E6" s="7">
        <f t="shared" ref="E6:E11" si="0">C6*D6</f>
        <v>287500</v>
      </c>
      <c r="F6" s="7" t="s">
        <v>570</v>
      </c>
    </row>
    <row r="7" spans="1:6">
      <c r="A7" s="27">
        <v>6526</v>
      </c>
      <c r="B7" s="7" t="s">
        <v>438</v>
      </c>
      <c r="C7" s="7">
        <v>100</v>
      </c>
      <c r="D7" s="7">
        <v>2875</v>
      </c>
      <c r="E7" s="7">
        <f t="shared" si="0"/>
        <v>287500</v>
      </c>
      <c r="F7" s="7" t="s">
        <v>570</v>
      </c>
    </row>
    <row r="8" spans="1:6">
      <c r="A8" s="27">
        <v>6532</v>
      </c>
      <c r="B8" s="7" t="s">
        <v>720</v>
      </c>
      <c r="C8" s="7">
        <v>100</v>
      </c>
      <c r="D8" s="7">
        <v>2875</v>
      </c>
      <c r="E8" s="7">
        <f t="shared" si="0"/>
        <v>287500</v>
      </c>
      <c r="F8" s="7" t="s">
        <v>570</v>
      </c>
    </row>
    <row r="9" spans="1:6">
      <c r="A9" s="7">
        <v>6320</v>
      </c>
      <c r="B9" s="7" t="s">
        <v>358</v>
      </c>
      <c r="C9" s="7">
        <v>100</v>
      </c>
      <c r="D9" s="7">
        <v>2875</v>
      </c>
      <c r="E9" s="7">
        <f t="shared" si="0"/>
        <v>287500</v>
      </c>
      <c r="F9" s="7" t="s">
        <v>570</v>
      </c>
    </row>
    <row r="10" spans="1:6">
      <c r="A10" s="27">
        <v>6530</v>
      </c>
      <c r="B10" s="7" t="s">
        <v>597</v>
      </c>
      <c r="C10" s="7">
        <v>100</v>
      </c>
      <c r="D10" s="7">
        <v>2875</v>
      </c>
      <c r="E10" s="7">
        <f t="shared" si="0"/>
        <v>287500</v>
      </c>
      <c r="F10" s="7" t="s">
        <v>570</v>
      </c>
    </row>
    <row r="11" spans="1:6">
      <c r="A11" s="7">
        <v>6508</v>
      </c>
      <c r="B11" s="7" t="s">
        <v>602</v>
      </c>
      <c r="C11" s="7">
        <v>100</v>
      </c>
      <c r="D11" s="7">
        <v>2875</v>
      </c>
      <c r="E11" s="7">
        <f t="shared" si="0"/>
        <v>287500</v>
      </c>
      <c r="F11" s="7" t="s">
        <v>570</v>
      </c>
    </row>
    <row r="12" spans="3:13">
      <c r="C12" s="8" t="s">
        <v>18</v>
      </c>
      <c r="D12" s="8"/>
      <c r="E12" s="8">
        <f>SUM(E5:E11)</f>
        <v>2012500</v>
      </c>
      <c r="M12" s="40"/>
    </row>
    <row r="13" spans="13:13">
      <c r="M13" s="12"/>
    </row>
    <row r="15" spans="16:17">
      <c r="P15" s="12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3"/>
      <c r="Q20" s="12"/>
    </row>
    <row r="21" spans="16:17">
      <c r="P21" s="13"/>
      <c r="Q21" s="12"/>
    </row>
    <row r="22" spans="16:17">
      <c r="P22" s="13"/>
      <c r="Q22" s="12"/>
    </row>
    <row r="23" spans="16:17">
      <c r="P23" s="13"/>
      <c r="Q23" s="12"/>
    </row>
    <row r="24" spans="16:17">
      <c r="P24" s="13"/>
      <c r="Q24" s="12"/>
    </row>
    <row r="25" spans="16:17">
      <c r="P25" s="13"/>
      <c r="Q25" s="12"/>
    </row>
    <row r="26" spans="16:17">
      <c r="P26" s="12"/>
      <c r="Q26" s="12"/>
    </row>
    <row r="27" spans="16:17">
      <c r="P27" s="39"/>
      <c r="Q27" s="12"/>
    </row>
    <row r="28" spans="16:17">
      <c r="P28" s="12"/>
      <c r="Q28" s="12"/>
    </row>
  </sheetData>
  <mergeCells count="6">
    <mergeCell ref="A1:C1"/>
    <mergeCell ref="D1:F1"/>
    <mergeCell ref="A2:C2"/>
    <mergeCell ref="D2:F2"/>
    <mergeCell ref="A3:F3"/>
    <mergeCell ref="C12:D12"/>
  </mergeCells>
  <pageMargins left="0.7" right="0.7" top="0.75" bottom="0.75" header="0.3" footer="0.3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workbookViewId="0">
      <selection activeCell="I35" sqref="I3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721</v>
      </c>
      <c r="B1" s="1"/>
      <c r="C1" s="1"/>
      <c r="D1" s="1" t="s">
        <v>699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6660</v>
      </c>
      <c r="B5" s="7" t="s">
        <v>168</v>
      </c>
      <c r="C5" s="7">
        <v>40</v>
      </c>
      <c r="D5" s="7">
        <v>1.2</v>
      </c>
      <c r="E5" s="7">
        <f t="shared" ref="E5:E13" si="0">C5*D5</f>
        <v>48</v>
      </c>
      <c r="F5" s="7" t="s">
        <v>716</v>
      </c>
    </row>
    <row r="6" spans="1:6">
      <c r="A6" s="7">
        <v>6664</v>
      </c>
      <c r="B6" s="7" t="s">
        <v>171</v>
      </c>
      <c r="C6" s="7">
        <v>40</v>
      </c>
      <c r="D6" s="7">
        <v>1.2</v>
      </c>
      <c r="E6" s="7">
        <f t="shared" si="0"/>
        <v>48</v>
      </c>
      <c r="F6" s="7" t="s">
        <v>716</v>
      </c>
    </row>
    <row r="7" spans="1:6">
      <c r="A7" s="7">
        <v>6661</v>
      </c>
      <c r="B7" s="7" t="s">
        <v>170</v>
      </c>
      <c r="C7" s="7">
        <v>40</v>
      </c>
      <c r="D7" s="7">
        <v>1.2</v>
      </c>
      <c r="E7" s="7">
        <f t="shared" si="0"/>
        <v>48</v>
      </c>
      <c r="F7" s="7" t="s">
        <v>716</v>
      </c>
    </row>
    <row r="8" spans="1:6">
      <c r="A8" s="7">
        <v>6657</v>
      </c>
      <c r="B8" s="7" t="s">
        <v>179</v>
      </c>
      <c r="C8" s="7">
        <v>40</v>
      </c>
      <c r="D8" s="7">
        <v>1.2</v>
      </c>
      <c r="E8" s="7">
        <f t="shared" si="0"/>
        <v>48</v>
      </c>
      <c r="F8" s="7" t="s">
        <v>716</v>
      </c>
    </row>
    <row r="9" spans="1:6">
      <c r="A9" s="7">
        <v>6658</v>
      </c>
      <c r="B9" s="7" t="s">
        <v>106</v>
      </c>
      <c r="C9" s="7">
        <v>40</v>
      </c>
      <c r="D9" s="7">
        <v>1.2</v>
      </c>
      <c r="E9" s="7">
        <f t="shared" si="0"/>
        <v>48</v>
      </c>
      <c r="F9" s="7" t="s">
        <v>716</v>
      </c>
    </row>
    <row r="10" spans="1:6">
      <c r="A10" s="7">
        <v>6659</v>
      </c>
      <c r="B10" s="7" t="s">
        <v>105</v>
      </c>
      <c r="C10" s="7">
        <v>40</v>
      </c>
      <c r="D10" s="7">
        <v>1.2</v>
      </c>
      <c r="E10" s="7">
        <f t="shared" si="0"/>
        <v>48</v>
      </c>
      <c r="F10" s="7" t="s">
        <v>716</v>
      </c>
    </row>
    <row r="11" spans="1:6">
      <c r="A11" s="7">
        <v>6656</v>
      </c>
      <c r="B11" s="7" t="s">
        <v>176</v>
      </c>
      <c r="C11" s="7">
        <v>40</v>
      </c>
      <c r="D11" s="7">
        <v>1.2</v>
      </c>
      <c r="E11" s="7">
        <f t="shared" si="0"/>
        <v>48</v>
      </c>
      <c r="F11" s="7" t="s">
        <v>716</v>
      </c>
    </row>
    <row r="12" spans="1:13">
      <c r="A12" s="7">
        <v>6663</v>
      </c>
      <c r="B12" s="7" t="s">
        <v>94</v>
      </c>
      <c r="C12" s="7">
        <v>40</v>
      </c>
      <c r="D12" s="7">
        <v>1.2</v>
      </c>
      <c r="E12" s="7">
        <f t="shared" si="0"/>
        <v>48</v>
      </c>
      <c r="F12" s="7" t="s">
        <v>716</v>
      </c>
      <c r="M12" s="40"/>
    </row>
    <row r="13" spans="1:13">
      <c r="A13" s="7">
        <v>6662</v>
      </c>
      <c r="B13" s="7" t="s">
        <v>169</v>
      </c>
      <c r="C13" s="7">
        <v>40</v>
      </c>
      <c r="D13" s="7">
        <v>1.2</v>
      </c>
      <c r="E13" s="7">
        <f t="shared" si="0"/>
        <v>48</v>
      </c>
      <c r="F13" s="7" t="s">
        <v>716</v>
      </c>
      <c r="M13" s="12"/>
    </row>
    <row r="14" spans="3:5">
      <c r="C14" s="8" t="s">
        <v>18</v>
      </c>
      <c r="D14" s="8"/>
      <c r="E14" s="8">
        <f>SUM(E5:E13)</f>
        <v>432</v>
      </c>
    </row>
    <row r="15" spans="16:17">
      <c r="P15" s="12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3"/>
      <c r="Q19" s="12"/>
    </row>
    <row r="20" spans="16:17">
      <c r="P20" s="13"/>
      <c r="Q20" s="12"/>
    </row>
    <row r="21" spans="16:17">
      <c r="P21" s="13"/>
      <c r="Q21" s="12"/>
    </row>
    <row r="22" spans="16:17">
      <c r="P22" s="13"/>
      <c r="Q22" s="12"/>
    </row>
    <row r="23" spans="16:17">
      <c r="P23" s="13"/>
      <c r="Q23" s="12"/>
    </row>
    <row r="24" spans="16:17">
      <c r="P24" s="13"/>
      <c r="Q24" s="12"/>
    </row>
    <row r="25" spans="16:17">
      <c r="P25" s="13"/>
      <c r="Q25" s="12"/>
    </row>
    <row r="26" spans="16:17">
      <c r="P26" s="12"/>
      <c r="Q26" s="12"/>
    </row>
    <row r="27" spans="16:17">
      <c r="P27" s="39"/>
      <c r="Q27" s="12"/>
    </row>
    <row r="28" spans="16:17">
      <c r="P28" s="12"/>
      <c r="Q28" s="12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selection activeCell="F18" sqref="F1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722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6552</v>
      </c>
      <c r="B5" s="7" t="s">
        <v>113</v>
      </c>
      <c r="C5" s="7">
        <v>450</v>
      </c>
      <c r="D5" s="7">
        <v>2757</v>
      </c>
      <c r="E5" s="7">
        <f>C5*D5</f>
        <v>1240650</v>
      </c>
      <c r="F5" s="7" t="s">
        <v>655</v>
      </c>
    </row>
    <row r="6" spans="3:5">
      <c r="C6" s="8" t="s">
        <v>18</v>
      </c>
      <c r="D6" s="8"/>
      <c r="E6" s="8">
        <f>SUM(E5:E5)</f>
        <v>1240650</v>
      </c>
    </row>
    <row r="7" spans="16:17">
      <c r="P7" s="12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2"/>
      <c r="Q18" s="12"/>
    </row>
    <row r="19" spans="16:17">
      <c r="P19" s="39"/>
      <c r="Q19" s="12"/>
    </row>
    <row r="20" spans="16:17">
      <c r="P20" s="12"/>
      <c r="Q2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F14" sqref="F1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723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6561</v>
      </c>
      <c r="B5" s="17" t="s">
        <v>97</v>
      </c>
      <c r="C5" s="7">
        <v>450</v>
      </c>
      <c r="D5" s="7">
        <v>2757</v>
      </c>
      <c r="E5" s="7">
        <f>C5*D5</f>
        <v>1240650</v>
      </c>
      <c r="F5" s="7" t="s">
        <v>655</v>
      </c>
    </row>
    <row r="6" spans="1:6">
      <c r="A6" s="7">
        <v>6562</v>
      </c>
      <c r="B6" s="17" t="s">
        <v>99</v>
      </c>
      <c r="C6" s="7">
        <v>450</v>
      </c>
      <c r="D6" s="7">
        <v>2757</v>
      </c>
      <c r="E6" s="7">
        <f>C6*D6</f>
        <v>1240650</v>
      </c>
      <c r="F6" s="7" t="s">
        <v>655</v>
      </c>
    </row>
    <row r="7" spans="3:5">
      <c r="C7" s="8" t="s">
        <v>18</v>
      </c>
      <c r="D7" s="8"/>
      <c r="E7" s="8">
        <f>SUM(E5:E6)</f>
        <v>2481300</v>
      </c>
    </row>
    <row r="8" spans="16:17">
      <c r="P8" s="12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3"/>
      <c r="Q18" s="12"/>
    </row>
    <row r="19" spans="16:17">
      <c r="P19" s="12"/>
      <c r="Q19" s="12"/>
    </row>
    <row r="20" spans="16:17">
      <c r="P20" s="39"/>
      <c r="Q20" s="12"/>
    </row>
    <row r="21" spans="16:17">
      <c r="P21" s="12"/>
      <c r="Q21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B12" sqref="B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724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6792</v>
      </c>
      <c r="B5" s="17" t="s">
        <v>348</v>
      </c>
      <c r="C5" s="7">
        <v>450</v>
      </c>
      <c r="D5" s="7">
        <v>2757</v>
      </c>
      <c r="E5" s="7">
        <f>C5*D5</f>
        <v>1240650</v>
      </c>
      <c r="F5" s="21" t="s">
        <v>655</v>
      </c>
    </row>
    <row r="6" spans="1:6">
      <c r="A6" s="7">
        <v>6799</v>
      </c>
      <c r="B6" s="7" t="s">
        <v>329</v>
      </c>
      <c r="C6" s="7">
        <v>450</v>
      </c>
      <c r="D6" s="7">
        <v>2757</v>
      </c>
      <c r="E6" s="7">
        <f t="shared" ref="E6:E23" si="0">C6*D6</f>
        <v>1240650</v>
      </c>
      <c r="F6" s="7" t="s">
        <v>212</v>
      </c>
    </row>
    <row r="7" spans="1:6">
      <c r="A7" s="7">
        <v>6797</v>
      </c>
      <c r="B7" s="17" t="s">
        <v>331</v>
      </c>
      <c r="C7" s="7">
        <v>450</v>
      </c>
      <c r="D7" s="7">
        <v>2757</v>
      </c>
      <c r="E7" s="7">
        <f t="shared" si="0"/>
        <v>1240650</v>
      </c>
      <c r="F7" s="7" t="s">
        <v>212</v>
      </c>
    </row>
    <row r="8" spans="1:6">
      <c r="A8" s="7">
        <v>6689</v>
      </c>
      <c r="B8" s="17" t="s">
        <v>535</v>
      </c>
      <c r="C8" s="7">
        <v>450</v>
      </c>
      <c r="D8" s="7">
        <v>2757</v>
      </c>
      <c r="E8" s="7">
        <f t="shared" si="0"/>
        <v>1240650</v>
      </c>
      <c r="F8" s="7" t="s">
        <v>212</v>
      </c>
    </row>
    <row r="9" spans="1:6">
      <c r="A9" s="7">
        <v>6596</v>
      </c>
      <c r="B9" s="17" t="s">
        <v>725</v>
      </c>
      <c r="C9" s="7">
        <v>450</v>
      </c>
      <c r="D9" s="7">
        <v>2757</v>
      </c>
      <c r="E9" s="7">
        <f t="shared" si="0"/>
        <v>1240650</v>
      </c>
      <c r="F9" s="7" t="s">
        <v>726</v>
      </c>
    </row>
    <row r="10" spans="1:6">
      <c r="A10" s="7">
        <v>6548</v>
      </c>
      <c r="B10" s="17" t="s">
        <v>43</v>
      </c>
      <c r="C10" s="7">
        <v>450</v>
      </c>
      <c r="D10" s="7">
        <v>2757</v>
      </c>
      <c r="E10" s="7">
        <f t="shared" si="0"/>
        <v>1240650</v>
      </c>
      <c r="F10" s="7" t="s">
        <v>655</v>
      </c>
    </row>
    <row r="11" spans="1:6">
      <c r="A11" s="7">
        <v>6570</v>
      </c>
      <c r="B11" s="17" t="s">
        <v>126</v>
      </c>
      <c r="C11" s="7">
        <v>450</v>
      </c>
      <c r="D11" s="7">
        <v>2757</v>
      </c>
      <c r="E11" s="7">
        <f t="shared" si="0"/>
        <v>1240650</v>
      </c>
      <c r="F11" s="7" t="s">
        <v>655</v>
      </c>
    </row>
    <row r="12" spans="1:6">
      <c r="A12" s="7">
        <v>6549</v>
      </c>
      <c r="B12" s="17" t="s">
        <v>220</v>
      </c>
      <c r="C12" s="7">
        <v>450</v>
      </c>
      <c r="D12" s="7">
        <v>2757</v>
      </c>
      <c r="E12" s="7">
        <f t="shared" si="0"/>
        <v>1240650</v>
      </c>
      <c r="F12" s="7" t="s">
        <v>655</v>
      </c>
    </row>
    <row r="13" spans="1:6">
      <c r="A13" s="7">
        <v>6560</v>
      </c>
      <c r="B13" s="17" t="s">
        <v>110</v>
      </c>
      <c r="C13" s="7">
        <v>450</v>
      </c>
      <c r="D13" s="7">
        <v>2757</v>
      </c>
      <c r="E13" s="7">
        <f t="shared" si="0"/>
        <v>1240650</v>
      </c>
      <c r="F13" s="7" t="s">
        <v>655</v>
      </c>
    </row>
    <row r="14" spans="1:6">
      <c r="A14" s="7">
        <v>6563</v>
      </c>
      <c r="B14" t="s">
        <v>98</v>
      </c>
      <c r="C14" s="7">
        <v>450</v>
      </c>
      <c r="D14" s="7">
        <v>2757</v>
      </c>
      <c r="E14" s="7">
        <f t="shared" si="0"/>
        <v>1240650</v>
      </c>
      <c r="F14" s="7" t="s">
        <v>655</v>
      </c>
    </row>
    <row r="15" spans="1:6">
      <c r="A15" s="7">
        <v>6557</v>
      </c>
      <c r="B15" s="7" t="s">
        <v>115</v>
      </c>
      <c r="C15" s="7">
        <v>450</v>
      </c>
      <c r="D15" s="7">
        <v>2757</v>
      </c>
      <c r="E15" s="7">
        <f t="shared" si="0"/>
        <v>1240650</v>
      </c>
      <c r="F15" s="7" t="s">
        <v>655</v>
      </c>
    </row>
    <row r="16" spans="1:6">
      <c r="A16" s="7">
        <v>6567</v>
      </c>
      <c r="B16" s="7" t="s">
        <v>219</v>
      </c>
      <c r="C16" s="7">
        <v>450</v>
      </c>
      <c r="D16" s="7">
        <v>2757</v>
      </c>
      <c r="E16" s="7">
        <f t="shared" si="0"/>
        <v>1240650</v>
      </c>
      <c r="F16" s="7" t="s">
        <v>655</v>
      </c>
    </row>
    <row r="17" spans="1:6">
      <c r="A17" s="7">
        <v>6572</v>
      </c>
      <c r="B17" s="7" t="s">
        <v>130</v>
      </c>
      <c r="C17" s="7">
        <v>450</v>
      </c>
      <c r="D17" s="7">
        <v>2757</v>
      </c>
      <c r="E17" s="7">
        <f t="shared" si="0"/>
        <v>1240650</v>
      </c>
      <c r="F17" s="7" t="s">
        <v>655</v>
      </c>
    </row>
    <row r="18" spans="1:6">
      <c r="A18" s="7">
        <v>6566</v>
      </c>
      <c r="B18" s="7" t="s">
        <v>72</v>
      </c>
      <c r="C18" s="7">
        <v>450</v>
      </c>
      <c r="D18" s="7">
        <v>2757</v>
      </c>
      <c r="E18" s="7">
        <f t="shared" si="0"/>
        <v>1240650</v>
      </c>
      <c r="F18" s="7" t="s">
        <v>655</v>
      </c>
    </row>
    <row r="19" spans="1:6">
      <c r="A19" s="16">
        <v>6697</v>
      </c>
      <c r="B19" t="s">
        <v>77</v>
      </c>
      <c r="C19" s="7">
        <v>450</v>
      </c>
      <c r="D19" s="7">
        <v>2757</v>
      </c>
      <c r="E19" s="7">
        <f t="shared" si="0"/>
        <v>1240650</v>
      </c>
      <c r="F19" s="7" t="s">
        <v>727</v>
      </c>
    </row>
    <row r="20" spans="1:6">
      <c r="A20" s="7">
        <v>6706</v>
      </c>
      <c r="B20" s="7" t="s">
        <v>87</v>
      </c>
      <c r="C20" s="7">
        <v>450</v>
      </c>
      <c r="D20" s="7">
        <v>2757</v>
      </c>
      <c r="E20" s="7">
        <f t="shared" si="0"/>
        <v>1240650</v>
      </c>
      <c r="F20" s="7" t="s">
        <v>667</v>
      </c>
    </row>
    <row r="21" spans="1:6">
      <c r="A21" s="7">
        <v>6705</v>
      </c>
      <c r="B21" s="7" t="s">
        <v>86</v>
      </c>
      <c r="C21" s="7">
        <v>450</v>
      </c>
      <c r="D21" s="7">
        <v>2757</v>
      </c>
      <c r="E21" s="7">
        <f t="shared" si="0"/>
        <v>1240650</v>
      </c>
      <c r="F21" s="7" t="s">
        <v>667</v>
      </c>
    </row>
    <row r="22" spans="1:6">
      <c r="A22" s="7">
        <v>6710</v>
      </c>
      <c r="B22" s="7" t="s">
        <v>224</v>
      </c>
      <c r="C22" s="7">
        <v>450</v>
      </c>
      <c r="D22" s="7">
        <v>2757</v>
      </c>
      <c r="E22" s="7">
        <f t="shared" si="0"/>
        <v>1240650</v>
      </c>
      <c r="F22" s="7" t="s">
        <v>667</v>
      </c>
    </row>
    <row r="23" spans="1:6">
      <c r="A23" s="7">
        <v>6703</v>
      </c>
      <c r="B23" s="22" t="s">
        <v>84</v>
      </c>
      <c r="C23" s="7">
        <v>450</v>
      </c>
      <c r="D23" s="7">
        <v>2757</v>
      </c>
      <c r="E23" s="7">
        <f t="shared" si="0"/>
        <v>1240650</v>
      </c>
      <c r="F23" s="7" t="s">
        <v>667</v>
      </c>
    </row>
    <row r="24" spans="3:5">
      <c r="C24" s="8" t="s">
        <v>18</v>
      </c>
      <c r="D24" s="8"/>
      <c r="E24" s="8">
        <f>SUM(E5:E23)</f>
        <v>23572350</v>
      </c>
    </row>
    <row r="25" spans="16:17">
      <c r="P25" s="12"/>
      <c r="Q25" s="12"/>
    </row>
    <row r="26" spans="16:17">
      <c r="P26" s="13"/>
      <c r="Q26" s="12"/>
    </row>
    <row r="27" spans="16:17">
      <c r="P27" s="13"/>
      <c r="Q27" s="12"/>
    </row>
    <row r="28" spans="16:17">
      <c r="P28" s="13"/>
      <c r="Q28" s="12"/>
    </row>
    <row r="29" spans="16:17">
      <c r="P29" s="13"/>
      <c r="Q29" s="12"/>
    </row>
    <row r="30" spans="16:17">
      <c r="P30" s="13"/>
      <c r="Q30" s="12"/>
    </row>
    <row r="31" spans="16:17">
      <c r="P31" s="13"/>
      <c r="Q31" s="12"/>
    </row>
    <row r="32" spans="16:17">
      <c r="P32" s="13"/>
      <c r="Q32" s="12"/>
    </row>
    <row r="33" spans="16:17">
      <c r="P33" s="13"/>
      <c r="Q33" s="12"/>
    </row>
    <row r="34" spans="16:17">
      <c r="P34" s="13"/>
      <c r="Q34" s="12"/>
    </row>
    <row r="35" spans="16:17">
      <c r="P35" s="13"/>
      <c r="Q35" s="12"/>
    </row>
    <row r="36" spans="16:17">
      <c r="P36" s="12"/>
      <c r="Q36" s="12"/>
    </row>
    <row r="37" spans="16:17">
      <c r="P37" s="39"/>
      <c r="Q37" s="12"/>
    </row>
    <row r="38" spans="16:17">
      <c r="P38" s="12"/>
      <c r="Q38" s="12"/>
    </row>
  </sheetData>
  <mergeCells count="6">
    <mergeCell ref="A1:C1"/>
    <mergeCell ref="D1:F1"/>
    <mergeCell ref="A2:C2"/>
    <mergeCell ref="D2:F2"/>
    <mergeCell ref="A3:F3"/>
    <mergeCell ref="C24:D24"/>
  </mergeCells>
  <pageMargins left="0.7" right="0.7" top="0.75" bottom="0.75" header="0.3" footer="0.3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selection activeCell="D5" sqref="D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728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6687</v>
      </c>
      <c r="B5" s="17" t="s">
        <v>348</v>
      </c>
      <c r="C5" s="7">
        <v>450</v>
      </c>
      <c r="D5" s="7">
        <v>2757</v>
      </c>
      <c r="E5" s="7">
        <f>C5*D5</f>
        <v>1240650</v>
      </c>
      <c r="F5" s="21" t="s">
        <v>212</v>
      </c>
    </row>
    <row r="6" spans="3:5">
      <c r="C6" s="8" t="s">
        <v>18</v>
      </c>
      <c r="D6" s="8"/>
      <c r="E6" s="8">
        <f>SUM(E5:E5)</f>
        <v>1240650</v>
      </c>
    </row>
    <row r="7" spans="16:17">
      <c r="P7" s="12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2"/>
      <c r="Q18" s="12"/>
    </row>
    <row r="19" spans="16:17">
      <c r="P19" s="39"/>
      <c r="Q19" s="12"/>
    </row>
    <row r="20" spans="16:17">
      <c r="P20" s="12"/>
      <c r="Q20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selection activeCell="J23" sqref="J2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729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6608</v>
      </c>
      <c r="B5" s="7" t="s">
        <v>550</v>
      </c>
      <c r="C5" s="7">
        <v>200</v>
      </c>
      <c r="D5" s="7">
        <v>2757</v>
      </c>
      <c r="E5" s="7">
        <f>C5*D5</f>
        <v>551400</v>
      </c>
      <c r="F5" s="7" t="s">
        <v>570</v>
      </c>
    </row>
    <row r="6" spans="1:6">
      <c r="A6" s="27">
        <v>6615</v>
      </c>
      <c r="B6" s="7" t="s">
        <v>555</v>
      </c>
      <c r="C6" s="7">
        <v>300</v>
      </c>
      <c r="D6" s="7">
        <v>2757</v>
      </c>
      <c r="E6" s="7">
        <f t="shared" ref="E5:E11" si="0">C6*D6</f>
        <v>827100</v>
      </c>
      <c r="F6" s="7" t="s">
        <v>570</v>
      </c>
    </row>
    <row r="7" spans="1:17">
      <c r="A7" s="27">
        <v>6526</v>
      </c>
      <c r="B7" s="7" t="s">
        <v>438</v>
      </c>
      <c r="C7" s="7">
        <v>400</v>
      </c>
      <c r="D7" s="7">
        <v>2757</v>
      </c>
      <c r="E7" s="7">
        <f t="shared" si="0"/>
        <v>1102800</v>
      </c>
      <c r="F7" s="7" t="s">
        <v>570</v>
      </c>
      <c r="P7" s="12"/>
      <c r="Q7" s="12"/>
    </row>
    <row r="8" spans="1:17">
      <c r="A8" s="27">
        <v>6532</v>
      </c>
      <c r="B8" s="7" t="s">
        <v>720</v>
      </c>
      <c r="C8" s="7">
        <v>400</v>
      </c>
      <c r="D8" s="7">
        <v>2757</v>
      </c>
      <c r="E8" s="7">
        <f t="shared" si="0"/>
        <v>1102800</v>
      </c>
      <c r="F8" s="7" t="s">
        <v>570</v>
      </c>
      <c r="P8" s="13"/>
      <c r="Q8" s="12"/>
    </row>
    <row r="9" spans="1:17">
      <c r="A9" s="7">
        <v>6320</v>
      </c>
      <c r="B9" s="7" t="s">
        <v>358</v>
      </c>
      <c r="C9" s="7">
        <v>400</v>
      </c>
      <c r="D9" s="7">
        <v>2757</v>
      </c>
      <c r="E9" s="7">
        <f t="shared" si="0"/>
        <v>1102800</v>
      </c>
      <c r="F9" s="7" t="s">
        <v>570</v>
      </c>
      <c r="P9" s="13"/>
      <c r="Q9" s="12"/>
    </row>
    <row r="10" spans="1:17">
      <c r="A10" s="27">
        <v>6530</v>
      </c>
      <c r="B10" s="7" t="s">
        <v>597</v>
      </c>
      <c r="C10" s="7">
        <v>360</v>
      </c>
      <c r="D10" s="7">
        <v>2757</v>
      </c>
      <c r="E10" s="7">
        <f t="shared" si="0"/>
        <v>992520</v>
      </c>
      <c r="F10" s="7" t="s">
        <v>570</v>
      </c>
      <c r="P10" s="13"/>
      <c r="Q10" s="12"/>
    </row>
    <row r="11" spans="1:17">
      <c r="A11" s="7">
        <v>6508</v>
      </c>
      <c r="B11" s="7" t="s">
        <v>602</v>
      </c>
      <c r="C11" s="7">
        <v>320</v>
      </c>
      <c r="D11" s="7">
        <v>2757</v>
      </c>
      <c r="E11" s="7">
        <f t="shared" si="0"/>
        <v>882240</v>
      </c>
      <c r="F11" s="7" t="s">
        <v>570</v>
      </c>
      <c r="P11" s="13"/>
      <c r="Q11" s="12"/>
    </row>
    <row r="12" spans="3:17">
      <c r="C12" s="8" t="s">
        <v>18</v>
      </c>
      <c r="D12" s="8"/>
      <c r="E12" s="8">
        <f>SUM(E5:E11)</f>
        <v>6561660</v>
      </c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3"/>
      <c r="Q17" s="12"/>
    </row>
    <row r="18" spans="16:17">
      <c r="P18" s="12"/>
      <c r="Q18" s="12"/>
    </row>
    <row r="19" spans="16:17">
      <c r="P19" s="39"/>
      <c r="Q19" s="12"/>
    </row>
    <row r="20" spans="16:17">
      <c r="P20" s="12"/>
      <c r="Q20" s="12"/>
    </row>
  </sheetData>
  <mergeCells count="6">
    <mergeCell ref="A1:C1"/>
    <mergeCell ref="D1:F1"/>
    <mergeCell ref="A2:C2"/>
    <mergeCell ref="D2:F2"/>
    <mergeCell ref="A3:F3"/>
    <mergeCell ref="C12:D12"/>
  </mergeCells>
  <pageMargins left="0.7" right="0.7" top="0.75" bottom="0.75" header="0.3" footer="0.3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H19" sqref="H1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730</v>
      </c>
      <c r="B1" s="1"/>
      <c r="C1" s="1"/>
      <c r="D1" s="1" t="s">
        <v>699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6687</v>
      </c>
      <c r="B5" s="7" t="s">
        <v>135</v>
      </c>
      <c r="C5" s="7">
        <v>450</v>
      </c>
      <c r="D5" s="7">
        <v>2757</v>
      </c>
      <c r="E5" s="7">
        <f>C5*D5</f>
        <v>1240650</v>
      </c>
      <c r="F5" s="7" t="s">
        <v>212</v>
      </c>
    </row>
    <row r="6" spans="3:17">
      <c r="C6" s="8" t="s">
        <v>18</v>
      </c>
      <c r="D6" s="8"/>
      <c r="E6" s="8">
        <f>SUM(E5:E5)</f>
        <v>1240650</v>
      </c>
      <c r="P6" s="13"/>
      <c r="Q6" s="12"/>
    </row>
    <row r="7" spans="16:17">
      <c r="P7" s="13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2"/>
      <c r="Q12" s="12"/>
    </row>
    <row r="13" spans="16:17">
      <c r="P13" s="39"/>
      <c r="Q13" s="12"/>
    </row>
    <row r="14" spans="16:17">
      <c r="P14" s="12"/>
      <c r="Q14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F26" sqref="F2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731</v>
      </c>
      <c r="B1" s="1"/>
      <c r="C1" s="1"/>
      <c r="D1" s="1" t="s">
        <v>699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6626</v>
      </c>
      <c r="B5" s="7" t="s">
        <v>544</v>
      </c>
      <c r="C5" s="7">
        <v>350</v>
      </c>
      <c r="D5" s="7">
        <v>1.2</v>
      </c>
      <c r="E5" s="7">
        <f>C5*D5</f>
        <v>420</v>
      </c>
      <c r="F5" s="7" t="s">
        <v>570</v>
      </c>
    </row>
    <row r="6" spans="3:17">
      <c r="C6" s="8" t="s">
        <v>18</v>
      </c>
      <c r="D6" s="8"/>
      <c r="E6" s="8">
        <f>SUM(E5:E5)</f>
        <v>420</v>
      </c>
      <c r="P6" s="13"/>
      <c r="Q6" s="12"/>
    </row>
    <row r="7" spans="16:17">
      <c r="P7" s="13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2"/>
      <c r="Q12" s="12"/>
    </row>
    <row r="13" spans="16:17">
      <c r="P13" s="39"/>
      <c r="Q13" s="12"/>
    </row>
    <row r="14" spans="16:17">
      <c r="P14" s="12"/>
      <c r="Q14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workbookViewId="0">
      <selection activeCell="E15" sqref="E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732</v>
      </c>
      <c r="B1" s="1"/>
      <c r="C1" s="1"/>
      <c r="D1" s="1" t="s">
        <v>733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6509</v>
      </c>
      <c r="B5" s="7" t="s">
        <v>603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1:6">
      <c r="A6" s="7">
        <v>6315</v>
      </c>
      <c r="B6" s="7" t="s">
        <v>359</v>
      </c>
      <c r="C6" s="7">
        <v>100</v>
      </c>
      <c r="D6" s="7">
        <v>2875</v>
      </c>
      <c r="E6" s="7">
        <f>C6*D6</f>
        <v>287500</v>
      </c>
      <c r="F6" s="7" t="s">
        <v>570</v>
      </c>
    </row>
    <row r="7" spans="3:17">
      <c r="C7" s="8" t="s">
        <v>18</v>
      </c>
      <c r="D7" s="8"/>
      <c r="E7" s="8">
        <f>SUM(E5:E6)</f>
        <v>575000</v>
      </c>
      <c r="P7" s="13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2"/>
      <c r="Q13" s="12"/>
    </row>
    <row r="14" spans="16:17">
      <c r="P14" s="39"/>
      <c r="Q14" s="12"/>
    </row>
    <row r="15" spans="16:17">
      <c r="P15" s="12"/>
      <c r="Q15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workbookViewId="0">
      <selection activeCell="F5" sqref="A5:D6 F5:F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734</v>
      </c>
      <c r="B1" s="1"/>
      <c r="C1" s="1"/>
      <c r="D1" s="1" t="s">
        <v>733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6509</v>
      </c>
      <c r="B5" s="7" t="s">
        <v>603</v>
      </c>
      <c r="C5" s="7">
        <v>360</v>
      </c>
      <c r="D5" s="7">
        <v>2757</v>
      </c>
      <c r="E5" s="7">
        <f>C5*D5</f>
        <v>992520</v>
      </c>
      <c r="F5" s="7" t="s">
        <v>570</v>
      </c>
    </row>
    <row r="6" spans="1:6">
      <c r="A6" s="7">
        <v>6315</v>
      </c>
      <c r="B6" s="7" t="s">
        <v>359</v>
      </c>
      <c r="C6" s="7">
        <v>400</v>
      </c>
      <c r="D6" s="7">
        <v>2757</v>
      </c>
      <c r="E6" s="7">
        <f>C6*D6</f>
        <v>1102800</v>
      </c>
      <c r="F6" s="7" t="s">
        <v>570</v>
      </c>
    </row>
    <row r="7" spans="3:17">
      <c r="C7" s="8" t="s">
        <v>18</v>
      </c>
      <c r="D7" s="8"/>
      <c r="E7" s="8">
        <f>SUM(E5:E6)</f>
        <v>2095320</v>
      </c>
      <c r="P7" s="13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2"/>
      <c r="Q13" s="12"/>
    </row>
    <row r="14" spans="16:17">
      <c r="P14" s="39"/>
      <c r="Q14" s="12"/>
    </row>
    <row r="15" spans="16:17">
      <c r="P15" s="12"/>
      <c r="Q15" s="12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workbookViewId="0">
      <selection activeCell="I21" sqref="I2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735</v>
      </c>
      <c r="B1" s="1"/>
      <c r="C1" s="1"/>
      <c r="D1" s="1" t="s">
        <v>733</v>
      </c>
      <c r="E1" s="1"/>
      <c r="F1" s="1"/>
    </row>
    <row r="2" spans="1:6">
      <c r="A2" s="2" t="s">
        <v>736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6691</v>
      </c>
      <c r="B5" s="7" t="s">
        <v>223</v>
      </c>
      <c r="C5" s="7">
        <v>460</v>
      </c>
      <c r="D5" s="7">
        <v>1.2</v>
      </c>
      <c r="E5" s="7">
        <f t="shared" ref="E5:E10" si="0">C5*D5</f>
        <v>552</v>
      </c>
      <c r="F5" s="7" t="s">
        <v>212</v>
      </c>
    </row>
    <row r="6" spans="1:6">
      <c r="A6" s="7">
        <v>6693</v>
      </c>
      <c r="B6" s="7" t="s">
        <v>155</v>
      </c>
      <c r="C6" s="7">
        <v>460</v>
      </c>
      <c r="D6" s="7">
        <v>1.2</v>
      </c>
      <c r="E6" s="7">
        <f t="shared" si="0"/>
        <v>552</v>
      </c>
      <c r="F6" s="7" t="s">
        <v>212</v>
      </c>
    </row>
    <row r="7" spans="1:6">
      <c r="A7" s="7">
        <v>6396</v>
      </c>
      <c r="B7" s="7" t="s">
        <v>140</v>
      </c>
      <c r="C7" s="7">
        <v>400</v>
      </c>
      <c r="D7" s="7">
        <v>1.2</v>
      </c>
      <c r="E7" s="7">
        <f t="shared" si="0"/>
        <v>480</v>
      </c>
      <c r="F7" s="7" t="s">
        <v>737</v>
      </c>
    </row>
    <row r="8" spans="1:6">
      <c r="A8" s="7">
        <v>6565</v>
      </c>
      <c r="B8" s="7" t="s">
        <v>73</v>
      </c>
      <c r="C8" s="7">
        <v>560</v>
      </c>
      <c r="D8" s="7">
        <v>1.2</v>
      </c>
      <c r="E8" s="7">
        <f t="shared" si="0"/>
        <v>672</v>
      </c>
      <c r="F8" s="7" t="s">
        <v>655</v>
      </c>
    </row>
    <row r="9" spans="1:6">
      <c r="A9" s="7">
        <v>6704</v>
      </c>
      <c r="B9" s="7" t="s">
        <v>85</v>
      </c>
      <c r="C9" s="7">
        <v>600</v>
      </c>
      <c r="D9" s="7">
        <v>1.2</v>
      </c>
      <c r="E9" s="7">
        <f t="shared" si="0"/>
        <v>720</v>
      </c>
      <c r="F9" s="7" t="s">
        <v>667</v>
      </c>
    </row>
    <row r="10" spans="1:6">
      <c r="A10" s="7">
        <v>6569</v>
      </c>
      <c r="B10" s="7" t="s">
        <v>71</v>
      </c>
      <c r="C10" s="7">
        <v>560</v>
      </c>
      <c r="D10" s="7">
        <v>1.2</v>
      </c>
      <c r="E10" s="7">
        <f t="shared" si="0"/>
        <v>672</v>
      </c>
      <c r="F10" s="7" t="s">
        <v>655</v>
      </c>
    </row>
    <row r="11" spans="3:17">
      <c r="C11" s="8" t="s">
        <v>18</v>
      </c>
      <c r="D11" s="8"/>
      <c r="E11" s="8">
        <f>SUM(E5:E10)</f>
        <v>3648</v>
      </c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3"/>
      <c r="Q14" s="12"/>
    </row>
    <row r="15" spans="16:17">
      <c r="P15" s="13"/>
      <c r="Q15" s="12"/>
    </row>
    <row r="16" spans="16:17">
      <c r="P16" s="13"/>
      <c r="Q16" s="12"/>
    </row>
    <row r="17" spans="16:17">
      <c r="P17" s="12"/>
      <c r="Q17" s="12"/>
    </row>
    <row r="18" spans="16:17">
      <c r="P18" s="39"/>
      <c r="Q18" s="12"/>
    </row>
    <row r="19" spans="16:17">
      <c r="P19" s="12"/>
      <c r="Q19" s="12"/>
    </row>
  </sheetData>
  <mergeCells count="6">
    <mergeCell ref="A1:C1"/>
    <mergeCell ref="D1:F1"/>
    <mergeCell ref="A2:C2"/>
    <mergeCell ref="D2:F2"/>
    <mergeCell ref="A3:F3"/>
    <mergeCell ref="C11:D11"/>
  </mergeCells>
  <pageMargins left="0.7" right="0.7" top="0.75" bottom="0.75" header="0.3" footer="0.3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H28" sqref="H2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738</v>
      </c>
      <c r="B1" s="1"/>
      <c r="C1" s="1"/>
      <c r="D1" s="1" t="s">
        <v>733</v>
      </c>
      <c r="E1" s="1"/>
      <c r="F1" s="1"/>
    </row>
    <row r="2" spans="1:6">
      <c r="A2" s="2" t="s">
        <v>739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6617</v>
      </c>
      <c r="B5" s="7" t="s">
        <v>740</v>
      </c>
      <c r="C5" s="7">
        <v>100</v>
      </c>
      <c r="D5" s="7">
        <v>2875</v>
      </c>
      <c r="E5" s="7">
        <f>C5*D5</f>
        <v>287500</v>
      </c>
      <c r="F5" s="27" t="s">
        <v>570</v>
      </c>
    </row>
    <row r="6" spans="3:17">
      <c r="C6" s="8" t="s">
        <v>18</v>
      </c>
      <c r="D6" s="8"/>
      <c r="E6" s="8">
        <f>SUM(E5:E5)</f>
        <v>287500</v>
      </c>
      <c r="P6" s="13"/>
      <c r="Q6" s="12"/>
    </row>
    <row r="7" spans="16:17">
      <c r="P7" s="13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2"/>
      <c r="Q12" s="12"/>
    </row>
    <row r="13" spans="16:17">
      <c r="P13" s="39"/>
      <c r="Q13" s="12"/>
    </row>
    <row r="14" spans="16:17">
      <c r="P14" s="12"/>
      <c r="Q14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H10" sqref="H1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741</v>
      </c>
      <c r="B1" s="1"/>
      <c r="C1" s="1"/>
      <c r="D1" s="1" t="s">
        <v>733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6617</v>
      </c>
      <c r="B5" s="7" t="s">
        <v>740</v>
      </c>
      <c r="C5" s="7">
        <v>380</v>
      </c>
      <c r="D5" s="7">
        <v>2757</v>
      </c>
      <c r="E5" s="7">
        <f>C5*D5</f>
        <v>1047660</v>
      </c>
      <c r="F5" s="27" t="s">
        <v>570</v>
      </c>
    </row>
    <row r="6" spans="3:17">
      <c r="C6" s="8" t="s">
        <v>18</v>
      </c>
      <c r="D6" s="8"/>
      <c r="E6" s="8">
        <f>SUM(E5:E5)</f>
        <v>1047660</v>
      </c>
      <c r="P6" s="13"/>
      <c r="Q6" s="12"/>
    </row>
    <row r="7" spans="16:17">
      <c r="P7" s="13"/>
      <c r="Q7" s="12"/>
    </row>
    <row r="8" spans="16:17"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2"/>
      <c r="Q12" s="12"/>
    </row>
    <row r="13" spans="16:17">
      <c r="P13" s="39"/>
      <c r="Q13" s="12"/>
    </row>
    <row r="14" spans="16:17">
      <c r="P14" s="12"/>
      <c r="Q14" s="12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G37" sqref="G3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742</v>
      </c>
      <c r="B1" s="1"/>
      <c r="C1" s="1"/>
      <c r="D1" s="1" t="s">
        <v>733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6315</v>
      </c>
      <c r="B5" s="7" t="s">
        <v>359</v>
      </c>
      <c r="C5" s="7">
        <v>100</v>
      </c>
      <c r="D5" s="7">
        <v>2875</v>
      </c>
      <c r="E5" s="7">
        <f>C5*D5</f>
        <v>287500</v>
      </c>
      <c r="F5" s="7" t="s">
        <v>718</v>
      </c>
    </row>
    <row r="6" spans="1:6">
      <c r="A6" s="7">
        <v>6612</v>
      </c>
      <c r="B6" s="7" t="s">
        <v>554</v>
      </c>
      <c r="C6" s="7">
        <v>100</v>
      </c>
      <c r="D6" s="7">
        <v>2875</v>
      </c>
      <c r="E6" s="7">
        <f t="shared" ref="E6:E25" si="0">C6*D6</f>
        <v>287500</v>
      </c>
      <c r="F6" s="7" t="s">
        <v>718</v>
      </c>
    </row>
    <row r="7" spans="1:6">
      <c r="A7" s="7">
        <v>6611</v>
      </c>
      <c r="B7" s="7" t="s">
        <v>553</v>
      </c>
      <c r="C7" s="7">
        <v>100</v>
      </c>
      <c r="D7" s="7">
        <v>2875</v>
      </c>
      <c r="E7" s="7">
        <f t="shared" si="0"/>
        <v>287500</v>
      </c>
      <c r="F7" s="7" t="s">
        <v>718</v>
      </c>
    </row>
    <row r="8" spans="1:6">
      <c r="A8" s="21">
        <v>6436</v>
      </c>
      <c r="B8" s="7" t="s">
        <v>610</v>
      </c>
      <c r="C8" s="7">
        <v>100</v>
      </c>
      <c r="D8" s="7">
        <v>2875</v>
      </c>
      <c r="E8" s="7">
        <f t="shared" si="0"/>
        <v>287500</v>
      </c>
      <c r="F8" s="7" t="s">
        <v>611</v>
      </c>
    </row>
    <row r="9" spans="1:6">
      <c r="A9" s="27">
        <v>6423</v>
      </c>
      <c r="B9" s="7" t="s">
        <v>633</v>
      </c>
      <c r="C9" s="7">
        <v>100</v>
      </c>
      <c r="D9" s="7">
        <v>2875</v>
      </c>
      <c r="E9" s="7">
        <f t="shared" si="0"/>
        <v>287500</v>
      </c>
      <c r="F9" s="7" t="s">
        <v>611</v>
      </c>
    </row>
    <row r="10" spans="1:6">
      <c r="A10" s="16">
        <v>6744</v>
      </c>
      <c r="B10" s="7" t="s">
        <v>612</v>
      </c>
      <c r="C10" s="7">
        <v>100</v>
      </c>
      <c r="D10" s="7">
        <v>2875</v>
      </c>
      <c r="E10" s="7">
        <f t="shared" si="0"/>
        <v>287500</v>
      </c>
      <c r="F10" s="7" t="s">
        <v>611</v>
      </c>
    </row>
    <row r="11" spans="1:6">
      <c r="A11" s="16">
        <v>6741</v>
      </c>
      <c r="B11" s="7" t="s">
        <v>613</v>
      </c>
      <c r="C11" s="7">
        <v>100</v>
      </c>
      <c r="D11" s="7">
        <v>2875</v>
      </c>
      <c r="E11" s="7">
        <f t="shared" si="0"/>
        <v>287500</v>
      </c>
      <c r="F11" s="7" t="s">
        <v>611</v>
      </c>
    </row>
    <row r="12" spans="1:6">
      <c r="A12" s="16">
        <v>6745</v>
      </c>
      <c r="B12" s="7" t="s">
        <v>615</v>
      </c>
      <c r="C12" s="7">
        <v>100</v>
      </c>
      <c r="D12" s="7">
        <v>2875</v>
      </c>
      <c r="E12" s="7">
        <f t="shared" si="0"/>
        <v>287500</v>
      </c>
      <c r="F12" s="7" t="s">
        <v>611</v>
      </c>
    </row>
    <row r="13" spans="1:6">
      <c r="A13" s="16">
        <v>6747</v>
      </c>
      <c r="B13" s="7" t="s">
        <v>630</v>
      </c>
      <c r="C13" s="7">
        <v>100</v>
      </c>
      <c r="D13" s="7">
        <v>2875</v>
      </c>
      <c r="E13" s="7">
        <f t="shared" si="0"/>
        <v>287500</v>
      </c>
      <c r="F13" s="7" t="s">
        <v>611</v>
      </c>
    </row>
    <row r="14" spans="1:6">
      <c r="A14" s="7">
        <v>6414</v>
      </c>
      <c r="B14" s="7" t="s">
        <v>670</v>
      </c>
      <c r="C14" s="7">
        <v>100</v>
      </c>
      <c r="D14" s="7">
        <v>2875</v>
      </c>
      <c r="E14" s="7">
        <f t="shared" si="0"/>
        <v>287500</v>
      </c>
      <c r="F14" s="7" t="s">
        <v>570</v>
      </c>
    </row>
    <row r="15" spans="1:6">
      <c r="A15" s="16">
        <v>6759</v>
      </c>
      <c r="B15" s="7" t="s">
        <v>616</v>
      </c>
      <c r="C15" s="7">
        <v>100</v>
      </c>
      <c r="D15" s="7">
        <v>2875</v>
      </c>
      <c r="E15" s="7">
        <f t="shared" si="0"/>
        <v>287500</v>
      </c>
      <c r="F15" s="7" t="s">
        <v>611</v>
      </c>
    </row>
    <row r="16" spans="1:6">
      <c r="A16" s="16">
        <v>6753</v>
      </c>
      <c r="B16" s="7" t="s">
        <v>614</v>
      </c>
      <c r="C16" s="7">
        <v>100</v>
      </c>
      <c r="D16" s="7">
        <v>2875</v>
      </c>
      <c r="E16" s="7">
        <f t="shared" si="0"/>
        <v>287500</v>
      </c>
      <c r="F16" s="7" t="s">
        <v>611</v>
      </c>
    </row>
    <row r="17" spans="1:6">
      <c r="A17" s="16">
        <v>6746</v>
      </c>
      <c r="B17" s="7" t="s">
        <v>628</v>
      </c>
      <c r="C17" s="7">
        <v>100</v>
      </c>
      <c r="D17" s="7">
        <v>2875</v>
      </c>
      <c r="E17" s="7">
        <f t="shared" si="0"/>
        <v>287500</v>
      </c>
      <c r="F17" s="7" t="s">
        <v>611</v>
      </c>
    </row>
    <row r="18" spans="1:6">
      <c r="A18" s="16">
        <v>6748</v>
      </c>
      <c r="B18" s="7" t="s">
        <v>631</v>
      </c>
      <c r="C18" s="7">
        <v>100</v>
      </c>
      <c r="D18" s="7">
        <v>2875</v>
      </c>
      <c r="E18" s="7">
        <f t="shared" si="0"/>
        <v>287500</v>
      </c>
      <c r="F18" s="7" t="s">
        <v>611</v>
      </c>
    </row>
    <row r="19" spans="1:6">
      <c r="A19" s="16">
        <v>6757</v>
      </c>
      <c r="B19" s="7" t="s">
        <v>617</v>
      </c>
      <c r="C19" s="7">
        <v>100</v>
      </c>
      <c r="D19" s="7">
        <v>2875</v>
      </c>
      <c r="E19" s="7">
        <f t="shared" si="0"/>
        <v>287500</v>
      </c>
      <c r="F19" s="7" t="s">
        <v>611</v>
      </c>
    </row>
    <row r="20" spans="1:6">
      <c r="A20" s="16">
        <v>6742</v>
      </c>
      <c r="B20" s="7" t="s">
        <v>625</v>
      </c>
      <c r="C20" s="7">
        <v>100</v>
      </c>
      <c r="D20" s="7">
        <v>2875</v>
      </c>
      <c r="E20" s="7">
        <f t="shared" si="0"/>
        <v>287500</v>
      </c>
      <c r="F20" s="7" t="s">
        <v>611</v>
      </c>
    </row>
    <row r="21" spans="1:6">
      <c r="A21" s="16">
        <v>6752</v>
      </c>
      <c r="B21" s="7" t="s">
        <v>629</v>
      </c>
      <c r="C21" s="7">
        <v>100</v>
      </c>
      <c r="D21" s="7">
        <v>2875</v>
      </c>
      <c r="E21" s="7">
        <f t="shared" si="0"/>
        <v>287500</v>
      </c>
      <c r="F21" s="7" t="s">
        <v>611</v>
      </c>
    </row>
    <row r="22" spans="1:6">
      <c r="A22" s="27">
        <v>6422</v>
      </c>
      <c r="B22" s="7" t="s">
        <v>627</v>
      </c>
      <c r="C22" s="7">
        <v>100</v>
      </c>
      <c r="D22" s="7">
        <v>2875</v>
      </c>
      <c r="E22" s="7">
        <f t="shared" si="0"/>
        <v>287500</v>
      </c>
      <c r="F22" s="7" t="s">
        <v>611</v>
      </c>
    </row>
    <row r="23" spans="1:6">
      <c r="A23" s="7">
        <v>6506</v>
      </c>
      <c r="B23" s="7" t="s">
        <v>661</v>
      </c>
      <c r="C23" s="7">
        <v>100</v>
      </c>
      <c r="D23" s="7">
        <v>2875</v>
      </c>
      <c r="E23" s="7">
        <f t="shared" si="0"/>
        <v>287500</v>
      </c>
      <c r="F23" s="7" t="s">
        <v>570</v>
      </c>
    </row>
    <row r="24" spans="1:6">
      <c r="A24" s="7">
        <v>6505</v>
      </c>
      <c r="B24" s="7" t="s">
        <v>662</v>
      </c>
      <c r="C24" s="7">
        <v>100</v>
      </c>
      <c r="D24" s="7">
        <v>2875</v>
      </c>
      <c r="E24" s="7">
        <f t="shared" si="0"/>
        <v>287500</v>
      </c>
      <c r="F24" s="7" t="s">
        <v>570</v>
      </c>
    </row>
    <row r="25" spans="1:6">
      <c r="A25" s="16">
        <v>6740</v>
      </c>
      <c r="B25" s="7" t="s">
        <v>626</v>
      </c>
      <c r="C25" s="7">
        <v>100</v>
      </c>
      <c r="D25" s="7">
        <v>2875</v>
      </c>
      <c r="E25" s="7">
        <f t="shared" si="0"/>
        <v>287500</v>
      </c>
      <c r="F25" s="7" t="s">
        <v>570</v>
      </c>
    </row>
    <row r="26" spans="3:17">
      <c r="C26" s="8" t="s">
        <v>18</v>
      </c>
      <c r="D26" s="8"/>
      <c r="E26" s="8">
        <f>SUM(E5:E25)</f>
        <v>6037500</v>
      </c>
      <c r="P26" s="13"/>
      <c r="Q26" s="12"/>
    </row>
    <row r="27" spans="16:17">
      <c r="P27" s="13"/>
      <c r="Q27" s="12"/>
    </row>
    <row r="28" spans="16:17">
      <c r="P28" s="13"/>
      <c r="Q28" s="12"/>
    </row>
    <row r="29" spans="16:17">
      <c r="P29" s="13"/>
      <c r="Q29" s="12"/>
    </row>
    <row r="30" spans="16:17">
      <c r="P30" s="13"/>
      <c r="Q30" s="12"/>
    </row>
    <row r="31" spans="16:17">
      <c r="P31" s="13"/>
      <c r="Q31" s="12"/>
    </row>
    <row r="32" spans="16:17">
      <c r="P32" s="12"/>
      <c r="Q32" s="12"/>
    </row>
    <row r="33" spans="16:17">
      <c r="P33" s="39"/>
      <c r="Q33" s="12"/>
    </row>
    <row r="34" spans="16:17">
      <c r="P34" s="12"/>
      <c r="Q34" s="12"/>
    </row>
  </sheetData>
  <mergeCells count="6">
    <mergeCell ref="A1:C1"/>
    <mergeCell ref="D1:F1"/>
    <mergeCell ref="A2:C2"/>
    <mergeCell ref="D2:F2"/>
    <mergeCell ref="A3:F3"/>
    <mergeCell ref="C26:D26"/>
  </mergeCells>
  <pageMargins left="0.7" right="0.7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F17" sqref="F1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743</v>
      </c>
      <c r="B1" s="1"/>
      <c r="C1" s="1"/>
      <c r="D1" s="1" t="s">
        <v>733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6707</v>
      </c>
      <c r="B5" s="7" t="s">
        <v>88</v>
      </c>
      <c r="C5" s="7">
        <v>450</v>
      </c>
      <c r="D5" s="7">
        <v>2757</v>
      </c>
      <c r="E5" s="7">
        <f>C5*D5</f>
        <v>1240650</v>
      </c>
      <c r="F5" s="7" t="s">
        <v>667</v>
      </c>
    </row>
    <row r="6" spans="1:6">
      <c r="A6" s="7">
        <v>6696</v>
      </c>
      <c r="B6" s="7" t="s">
        <v>161</v>
      </c>
      <c r="C6" s="7">
        <v>450</v>
      </c>
      <c r="D6" s="7">
        <v>2757</v>
      </c>
      <c r="E6" s="7">
        <f>C6*D6</f>
        <v>1240650</v>
      </c>
      <c r="F6" s="7" t="s">
        <v>667</v>
      </c>
    </row>
    <row r="7" spans="1:6">
      <c r="A7" s="7">
        <v>6775</v>
      </c>
      <c r="B7" s="7" t="s">
        <v>153</v>
      </c>
      <c r="C7" s="7">
        <v>450</v>
      </c>
      <c r="D7" s="7">
        <v>2757</v>
      </c>
      <c r="E7" s="7">
        <f>C7*D7</f>
        <v>1240650</v>
      </c>
      <c r="F7" s="7" t="s">
        <v>655</v>
      </c>
    </row>
    <row r="8" spans="3:17">
      <c r="C8" s="8" t="s">
        <v>18</v>
      </c>
      <c r="D8" s="8"/>
      <c r="E8" s="8">
        <f>SUM(E5:E7)</f>
        <v>3721950</v>
      </c>
      <c r="P8" s="13"/>
      <c r="Q8" s="12"/>
    </row>
    <row r="9" spans="16:17">
      <c r="P9" s="13"/>
      <c r="Q9" s="12"/>
    </row>
    <row r="10" spans="16:17">
      <c r="P10" s="13"/>
      <c r="Q10" s="12"/>
    </row>
    <row r="11" spans="16:17">
      <c r="P11" s="13"/>
      <c r="Q11" s="12"/>
    </row>
    <row r="12" spans="16:17">
      <c r="P12" s="13"/>
      <c r="Q12" s="12"/>
    </row>
    <row r="13" spans="16:17">
      <c r="P13" s="13"/>
      <c r="Q13" s="12"/>
    </row>
    <row r="14" spans="16:17">
      <c r="P14" s="12"/>
      <c r="Q14" s="12"/>
    </row>
    <row r="15" spans="16:17">
      <c r="P15" s="39"/>
      <c r="Q15" s="12"/>
    </row>
    <row r="16" spans="16:17">
      <c r="P16" s="12"/>
      <c r="Q16" s="12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M8" sqref="M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744</v>
      </c>
      <c r="B1" s="1"/>
      <c r="C1" s="1"/>
      <c r="D1" s="1" t="s">
        <v>733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6315</v>
      </c>
      <c r="B5" s="7" t="s">
        <v>359</v>
      </c>
      <c r="C5" s="7">
        <v>400</v>
      </c>
      <c r="D5" s="7">
        <v>2757</v>
      </c>
      <c r="E5" s="7">
        <f>C5*D5</f>
        <v>1102800</v>
      </c>
      <c r="F5" s="7" t="s">
        <v>570</v>
      </c>
    </row>
    <row r="6" spans="1:6">
      <c r="A6" s="7">
        <v>6612</v>
      </c>
      <c r="B6" s="7" t="s">
        <v>554</v>
      </c>
      <c r="C6" s="7">
        <v>400</v>
      </c>
      <c r="D6" s="7">
        <v>2757</v>
      </c>
      <c r="E6" s="7">
        <f t="shared" ref="E5:E25" si="0">C6*D6</f>
        <v>1102800</v>
      </c>
      <c r="F6" s="7" t="s">
        <v>570</v>
      </c>
    </row>
    <row r="7" spans="1:6">
      <c r="A7" s="7">
        <v>6611</v>
      </c>
      <c r="B7" s="7" t="s">
        <v>553</v>
      </c>
      <c r="C7" s="7">
        <v>400</v>
      </c>
      <c r="D7" s="7">
        <v>2757</v>
      </c>
      <c r="E7" s="7">
        <f t="shared" si="0"/>
        <v>1102800</v>
      </c>
      <c r="F7" s="7" t="s">
        <v>570</v>
      </c>
    </row>
    <row r="8" spans="1:17">
      <c r="A8" s="21">
        <v>6436</v>
      </c>
      <c r="B8" s="7" t="s">
        <v>610</v>
      </c>
      <c r="C8" s="7">
        <v>400</v>
      </c>
      <c r="D8" s="7">
        <v>2757</v>
      </c>
      <c r="E8" s="7">
        <f t="shared" si="0"/>
        <v>1102800</v>
      </c>
      <c r="F8" s="7" t="s">
        <v>611</v>
      </c>
      <c r="P8" s="13"/>
      <c r="Q8" s="12"/>
    </row>
    <row r="9" spans="1:17">
      <c r="A9" s="27">
        <v>6423</v>
      </c>
      <c r="B9" s="7" t="s">
        <v>633</v>
      </c>
      <c r="C9" s="7">
        <v>400</v>
      </c>
      <c r="D9" s="7">
        <v>2757</v>
      </c>
      <c r="E9" s="7">
        <f t="shared" si="0"/>
        <v>1102800</v>
      </c>
      <c r="F9" s="7" t="s">
        <v>611</v>
      </c>
      <c r="P9" s="13"/>
      <c r="Q9" s="12"/>
    </row>
    <row r="10" spans="1:17">
      <c r="A10" s="16">
        <v>6744</v>
      </c>
      <c r="B10" s="7" t="s">
        <v>612</v>
      </c>
      <c r="C10" s="7">
        <v>400</v>
      </c>
      <c r="D10" s="7">
        <v>2757</v>
      </c>
      <c r="E10" s="7">
        <f t="shared" si="0"/>
        <v>1102800</v>
      </c>
      <c r="F10" s="7" t="s">
        <v>611</v>
      </c>
      <c r="P10" s="13"/>
      <c r="Q10" s="12"/>
    </row>
    <row r="11" spans="1:17">
      <c r="A11" s="16">
        <v>6741</v>
      </c>
      <c r="B11" s="7" t="s">
        <v>613</v>
      </c>
      <c r="C11" s="7">
        <v>400</v>
      </c>
      <c r="D11" s="7">
        <v>2757</v>
      </c>
      <c r="E11" s="7">
        <f t="shared" si="0"/>
        <v>1102800</v>
      </c>
      <c r="F11" s="7" t="s">
        <v>611</v>
      </c>
      <c r="P11" s="13"/>
      <c r="Q11" s="12"/>
    </row>
    <row r="12" spans="1:17">
      <c r="A12" s="16">
        <v>6745</v>
      </c>
      <c r="B12" s="7" t="s">
        <v>615</v>
      </c>
      <c r="C12" s="7">
        <v>400</v>
      </c>
      <c r="D12" s="7">
        <v>2757</v>
      </c>
      <c r="E12" s="7">
        <f t="shared" si="0"/>
        <v>1102800</v>
      </c>
      <c r="F12" s="7" t="s">
        <v>611</v>
      </c>
      <c r="P12" s="13"/>
      <c r="Q12" s="12"/>
    </row>
    <row r="13" spans="1:17">
      <c r="A13" s="16">
        <v>6747</v>
      </c>
      <c r="B13" s="7" t="s">
        <v>630</v>
      </c>
      <c r="C13" s="7">
        <v>400</v>
      </c>
      <c r="D13" s="7">
        <v>2757</v>
      </c>
      <c r="E13" s="7">
        <f t="shared" si="0"/>
        <v>1102800</v>
      </c>
      <c r="F13" s="7" t="s">
        <v>611</v>
      </c>
      <c r="P13" s="13"/>
      <c r="Q13" s="12"/>
    </row>
    <row r="14" spans="1:17">
      <c r="A14" s="7">
        <v>6414</v>
      </c>
      <c r="B14" s="7" t="s">
        <v>670</v>
      </c>
      <c r="C14" s="7">
        <v>400</v>
      </c>
      <c r="D14" s="7">
        <v>2757</v>
      </c>
      <c r="E14" s="7">
        <f t="shared" si="0"/>
        <v>1102800</v>
      </c>
      <c r="F14" s="7" t="s">
        <v>570</v>
      </c>
      <c r="P14" s="12"/>
      <c r="Q14" s="12"/>
    </row>
    <row r="15" spans="1:17">
      <c r="A15" s="16">
        <v>6759</v>
      </c>
      <c r="B15" s="7" t="s">
        <v>616</v>
      </c>
      <c r="C15" s="7">
        <v>400</v>
      </c>
      <c r="D15" s="7">
        <v>2757</v>
      </c>
      <c r="E15" s="7">
        <f t="shared" si="0"/>
        <v>1102800</v>
      </c>
      <c r="F15" s="7" t="s">
        <v>611</v>
      </c>
      <c r="P15" s="39"/>
      <c r="Q15" s="12"/>
    </row>
    <row r="16" spans="1:17">
      <c r="A16" s="16">
        <v>6753</v>
      </c>
      <c r="B16" s="7" t="s">
        <v>614</v>
      </c>
      <c r="C16" s="7">
        <v>400</v>
      </c>
      <c r="D16" s="7">
        <v>2757</v>
      </c>
      <c r="E16" s="7">
        <f t="shared" si="0"/>
        <v>1102800</v>
      </c>
      <c r="F16" s="7" t="s">
        <v>611</v>
      </c>
      <c r="P16" s="12"/>
      <c r="Q16" s="12"/>
    </row>
    <row r="17" spans="1:6">
      <c r="A17" s="16">
        <v>6746</v>
      </c>
      <c r="B17" s="7" t="s">
        <v>628</v>
      </c>
      <c r="C17" s="7">
        <v>400</v>
      </c>
      <c r="D17" s="7">
        <v>2757</v>
      </c>
      <c r="E17" s="7">
        <f t="shared" si="0"/>
        <v>1102800</v>
      </c>
      <c r="F17" s="7" t="s">
        <v>611</v>
      </c>
    </row>
    <row r="18" spans="1:6">
      <c r="A18" s="16">
        <v>6748</v>
      </c>
      <c r="B18" s="7" t="s">
        <v>631</v>
      </c>
      <c r="C18" s="7">
        <v>400</v>
      </c>
      <c r="D18" s="7">
        <v>2757</v>
      </c>
      <c r="E18" s="7">
        <f t="shared" si="0"/>
        <v>1102800</v>
      </c>
      <c r="F18" s="7" t="s">
        <v>611</v>
      </c>
    </row>
    <row r="19" spans="1:6">
      <c r="A19" s="16">
        <v>6757</v>
      </c>
      <c r="B19" s="7" t="s">
        <v>617</v>
      </c>
      <c r="C19" s="7">
        <v>400</v>
      </c>
      <c r="D19" s="7">
        <v>2757</v>
      </c>
      <c r="E19" s="7">
        <f t="shared" si="0"/>
        <v>1102800</v>
      </c>
      <c r="F19" s="7" t="s">
        <v>611</v>
      </c>
    </row>
    <row r="20" spans="1:6">
      <c r="A20" s="16">
        <v>6742</v>
      </c>
      <c r="B20" s="7" t="s">
        <v>625</v>
      </c>
      <c r="C20" s="7">
        <v>400</v>
      </c>
      <c r="D20" s="7">
        <v>2757</v>
      </c>
      <c r="E20" s="7">
        <f t="shared" si="0"/>
        <v>1102800</v>
      </c>
      <c r="F20" s="7" t="s">
        <v>611</v>
      </c>
    </row>
    <row r="21" spans="1:6">
      <c r="A21" s="16">
        <v>6752</v>
      </c>
      <c r="B21" s="7" t="s">
        <v>629</v>
      </c>
      <c r="C21" s="7">
        <v>400</v>
      </c>
      <c r="D21" s="7">
        <v>2757</v>
      </c>
      <c r="E21" s="7">
        <f t="shared" si="0"/>
        <v>1102800</v>
      </c>
      <c r="F21" s="7" t="s">
        <v>611</v>
      </c>
    </row>
    <row r="22" spans="1:6">
      <c r="A22" s="27">
        <v>6422</v>
      </c>
      <c r="B22" s="7" t="s">
        <v>627</v>
      </c>
      <c r="C22" s="7">
        <v>400</v>
      </c>
      <c r="D22" s="7">
        <v>2757</v>
      </c>
      <c r="E22" s="7">
        <f t="shared" si="0"/>
        <v>1102800</v>
      </c>
      <c r="F22" s="7" t="s">
        <v>611</v>
      </c>
    </row>
    <row r="23" spans="1:6">
      <c r="A23" s="38">
        <v>6506</v>
      </c>
      <c r="B23" s="38" t="s">
        <v>661</v>
      </c>
      <c r="C23" s="38">
        <v>400</v>
      </c>
      <c r="D23" s="38">
        <v>2757</v>
      </c>
      <c r="E23" s="38">
        <f t="shared" si="0"/>
        <v>1102800</v>
      </c>
      <c r="F23" s="38" t="s">
        <v>570</v>
      </c>
    </row>
    <row r="24" spans="1:6">
      <c r="A24" s="7">
        <v>6505</v>
      </c>
      <c r="B24" s="7" t="s">
        <v>662</v>
      </c>
      <c r="C24" s="7">
        <v>400</v>
      </c>
      <c r="D24" s="7">
        <v>2757</v>
      </c>
      <c r="E24" s="7">
        <f t="shared" si="0"/>
        <v>1102800</v>
      </c>
      <c r="F24" s="7" t="s">
        <v>570</v>
      </c>
    </row>
    <row r="25" spans="1:6">
      <c r="A25" s="16">
        <v>6740</v>
      </c>
      <c r="B25" s="7" t="s">
        <v>626</v>
      </c>
      <c r="C25" s="7">
        <v>400</v>
      </c>
      <c r="D25" s="7">
        <v>2757</v>
      </c>
      <c r="E25" s="7">
        <f t="shared" si="0"/>
        <v>1102800</v>
      </c>
      <c r="F25" s="7" t="s">
        <v>570</v>
      </c>
    </row>
    <row r="26" spans="3:5">
      <c r="C26" s="8" t="s">
        <v>18</v>
      </c>
      <c r="D26" s="8"/>
      <c r="E26" s="8">
        <f>SUM(E5:E25)</f>
        <v>23158800</v>
      </c>
    </row>
  </sheetData>
  <mergeCells count="6">
    <mergeCell ref="A1:C1"/>
    <mergeCell ref="D1:F1"/>
    <mergeCell ref="A2:C2"/>
    <mergeCell ref="D2:F2"/>
    <mergeCell ref="A3:F3"/>
    <mergeCell ref="C26:D26"/>
  </mergeCells>
  <pageMargins left="0.7" right="0.7" top="0.75" bottom="0.75" header="0.3" footer="0.3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workbookViewId="0">
      <selection activeCell="I13" sqref="I1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745</v>
      </c>
      <c r="B1" s="1"/>
      <c r="C1" s="1"/>
      <c r="D1" s="1" t="s">
        <v>733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6700</v>
      </c>
      <c r="B5" s="7" t="s">
        <v>81</v>
      </c>
      <c r="C5" s="7">
        <v>450</v>
      </c>
      <c r="D5" s="7">
        <v>2757</v>
      </c>
      <c r="E5" s="7">
        <f>C5*D5</f>
        <v>1240650</v>
      </c>
      <c r="F5" s="7" t="s">
        <v>667</v>
      </c>
    </row>
    <row r="6" spans="1:6">
      <c r="A6" s="7">
        <v>6592</v>
      </c>
      <c r="B6" s="7" t="s">
        <v>746</v>
      </c>
      <c r="C6" s="7">
        <v>450</v>
      </c>
      <c r="D6" s="7">
        <v>2757</v>
      </c>
      <c r="E6" s="7">
        <f t="shared" ref="E6:E13" si="0">C6*D6</f>
        <v>1240650</v>
      </c>
      <c r="F6" s="7" t="s">
        <v>726</v>
      </c>
    </row>
    <row r="7" spans="1:6">
      <c r="A7" s="7">
        <v>6791</v>
      </c>
      <c r="B7" s="7" t="s">
        <v>292</v>
      </c>
      <c r="C7" s="7">
        <v>450</v>
      </c>
      <c r="D7" s="7">
        <v>2757</v>
      </c>
      <c r="E7" s="7">
        <f t="shared" si="0"/>
        <v>1240650</v>
      </c>
      <c r="F7" s="7" t="s">
        <v>655</v>
      </c>
    </row>
    <row r="8" spans="1:17">
      <c r="A8" s="7">
        <v>6790</v>
      </c>
      <c r="B8" s="7" t="s">
        <v>291</v>
      </c>
      <c r="C8" s="7">
        <v>450</v>
      </c>
      <c r="D8" s="7">
        <v>2757</v>
      </c>
      <c r="E8" s="7">
        <f t="shared" si="0"/>
        <v>1240650</v>
      </c>
      <c r="F8" s="7" t="s">
        <v>655</v>
      </c>
      <c r="P8" s="13"/>
      <c r="Q8" s="12"/>
    </row>
    <row r="9" spans="1:17">
      <c r="A9" s="7">
        <v>6779</v>
      </c>
      <c r="B9" s="7" t="s">
        <v>238</v>
      </c>
      <c r="C9" s="7">
        <v>450</v>
      </c>
      <c r="D9" s="7">
        <v>2757</v>
      </c>
      <c r="E9" s="7">
        <f t="shared" si="0"/>
        <v>1240650</v>
      </c>
      <c r="F9" s="7" t="s">
        <v>655</v>
      </c>
      <c r="P9" s="13"/>
      <c r="Q9" s="12"/>
    </row>
    <row r="10" spans="1:17">
      <c r="A10" s="7">
        <v>6788</v>
      </c>
      <c r="B10" s="7" t="s">
        <v>289</v>
      </c>
      <c r="C10" s="7">
        <v>450</v>
      </c>
      <c r="D10" s="7">
        <v>2757</v>
      </c>
      <c r="E10" s="7">
        <f t="shared" si="0"/>
        <v>1240650</v>
      </c>
      <c r="F10" s="7" t="s">
        <v>655</v>
      </c>
      <c r="P10" s="13"/>
      <c r="Q10" s="12"/>
    </row>
    <row r="11" spans="1:17">
      <c r="A11" s="7">
        <v>6786</v>
      </c>
      <c r="B11" s="7" t="s">
        <v>287</v>
      </c>
      <c r="C11" s="7">
        <v>450</v>
      </c>
      <c r="D11" s="7">
        <v>2757</v>
      </c>
      <c r="E11" s="7">
        <f t="shared" si="0"/>
        <v>1240650</v>
      </c>
      <c r="F11" s="7" t="s">
        <v>655</v>
      </c>
      <c r="P11" s="13"/>
      <c r="Q11" s="12"/>
    </row>
    <row r="12" spans="1:17">
      <c r="A12" s="7">
        <v>6793</v>
      </c>
      <c r="B12" s="7" t="s">
        <v>349</v>
      </c>
      <c r="C12" s="7">
        <v>450</v>
      </c>
      <c r="D12" s="7">
        <v>2757</v>
      </c>
      <c r="E12" s="7">
        <f t="shared" si="0"/>
        <v>1240650</v>
      </c>
      <c r="F12" s="7" t="s">
        <v>655</v>
      </c>
      <c r="P12" s="13"/>
      <c r="Q12" s="12"/>
    </row>
    <row r="13" spans="1:17">
      <c r="A13" s="7">
        <v>6796</v>
      </c>
      <c r="B13" s="7" t="s">
        <v>244</v>
      </c>
      <c r="C13" s="7">
        <v>450</v>
      </c>
      <c r="D13" s="7">
        <v>2757</v>
      </c>
      <c r="E13" s="7">
        <f t="shared" si="0"/>
        <v>1240650</v>
      </c>
      <c r="F13" s="7" t="s">
        <v>212</v>
      </c>
      <c r="P13" s="12"/>
      <c r="Q13" s="12"/>
    </row>
    <row r="14" spans="3:5">
      <c r="C14" s="8" t="s">
        <v>18</v>
      </c>
      <c r="D14" s="8"/>
      <c r="E14" s="8">
        <f>SUM(E5:E13)</f>
        <v>11165850</v>
      </c>
    </row>
    <row r="19" spans="2:2">
      <c r="B19" s="7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H29" sqref="H29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747</v>
      </c>
      <c r="B1" s="1"/>
      <c r="C1" s="1"/>
      <c r="D1" s="1" t="s">
        <v>733</v>
      </c>
      <c r="E1" s="1"/>
      <c r="F1" s="1"/>
    </row>
    <row r="2" spans="1:6">
      <c r="A2" s="2" t="s">
        <v>76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6339</v>
      </c>
      <c r="B5" s="7" t="s">
        <v>381</v>
      </c>
      <c r="C5" s="7">
        <v>97</v>
      </c>
      <c r="D5" s="7">
        <v>1.2</v>
      </c>
      <c r="E5" s="7">
        <f>C5*D5</f>
        <v>116.4</v>
      </c>
      <c r="F5" s="7" t="s">
        <v>655</v>
      </c>
    </row>
    <row r="6" spans="3:5">
      <c r="C6" s="8" t="s">
        <v>18</v>
      </c>
      <c r="D6" s="8"/>
      <c r="E6" s="8">
        <f>SUM(E5:E5)</f>
        <v>116.4</v>
      </c>
    </row>
    <row r="11" spans="2:2">
      <c r="B11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17" sqref="B17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748</v>
      </c>
      <c r="B1" s="1"/>
      <c r="C1" s="1"/>
      <c r="D1" s="1" t="s">
        <v>733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6589</v>
      </c>
      <c r="B5" s="7" t="s">
        <v>403</v>
      </c>
      <c r="C5" s="7">
        <v>60</v>
      </c>
      <c r="D5" s="7">
        <v>1.2</v>
      </c>
      <c r="E5" s="7">
        <f>C5*D5</f>
        <v>72</v>
      </c>
      <c r="F5" s="7" t="s">
        <v>726</v>
      </c>
    </row>
    <row r="6" spans="1:6">
      <c r="A6" s="7">
        <v>6591</v>
      </c>
      <c r="B6" s="7" t="s">
        <v>496</v>
      </c>
      <c r="C6" s="7">
        <v>60</v>
      </c>
      <c r="D6" s="7">
        <v>1.2</v>
      </c>
      <c r="E6" s="7">
        <f>C6*D6</f>
        <v>72</v>
      </c>
      <c r="F6" s="7" t="s">
        <v>726</v>
      </c>
    </row>
    <row r="7" spans="3:5">
      <c r="C7" s="8" t="s">
        <v>18</v>
      </c>
      <c r="D7" s="8"/>
      <c r="E7" s="8">
        <f>SUM(E5:E6)</f>
        <v>144</v>
      </c>
    </row>
    <row r="12" spans="2:2">
      <c r="B12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G20" sqref="G20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749</v>
      </c>
      <c r="B1" s="1"/>
      <c r="C1" s="1"/>
      <c r="D1" s="1" t="s">
        <v>733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6571</v>
      </c>
      <c r="B5" s="7" t="s">
        <v>127</v>
      </c>
      <c r="C5" s="7">
        <v>450</v>
      </c>
      <c r="D5" s="7">
        <v>2757</v>
      </c>
      <c r="E5" s="7">
        <f>C5*D5</f>
        <v>1240650</v>
      </c>
      <c r="F5" s="7" t="s">
        <v>655</v>
      </c>
    </row>
    <row r="6" spans="3:5">
      <c r="C6" s="8" t="s">
        <v>18</v>
      </c>
      <c r="D6" s="8"/>
      <c r="E6" s="8">
        <f>SUM(E5:E5)</f>
        <v>1240650</v>
      </c>
    </row>
    <row r="11" spans="2:2">
      <c r="B11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25" sqref="I25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750</v>
      </c>
      <c r="B1" s="1"/>
      <c r="C1" s="1"/>
      <c r="D1" s="1" t="s">
        <v>733</v>
      </c>
      <c r="E1" s="1"/>
      <c r="F1" s="1"/>
    </row>
    <row r="2" spans="1:6">
      <c r="A2" s="2" t="s">
        <v>751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6597</v>
      </c>
      <c r="B5" s="7" t="s">
        <v>23</v>
      </c>
      <c r="C5" s="7">
        <v>60</v>
      </c>
      <c r="D5" s="7">
        <v>1.2</v>
      </c>
      <c r="E5" s="7">
        <f>C5*D5</f>
        <v>72</v>
      </c>
      <c r="F5" s="7" t="s">
        <v>726</v>
      </c>
    </row>
    <row r="6" spans="3:5">
      <c r="C6" s="8" t="s">
        <v>18</v>
      </c>
      <c r="D6" s="8"/>
      <c r="E6" s="8">
        <f>SUM(E5:E5)</f>
        <v>72</v>
      </c>
    </row>
    <row r="11" spans="2:2">
      <c r="B11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H16" sqref="H16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752</v>
      </c>
      <c r="B1" s="1"/>
      <c r="C1" s="1"/>
      <c r="D1" s="1" t="s">
        <v>733</v>
      </c>
      <c r="E1" s="1"/>
      <c r="F1" s="1"/>
    </row>
    <row r="2" spans="1:6">
      <c r="A2" s="2" t="s">
        <v>76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6636</v>
      </c>
      <c r="B5" s="7" t="s">
        <v>316</v>
      </c>
      <c r="C5" s="7">
        <v>50</v>
      </c>
      <c r="D5" s="7">
        <v>1.2</v>
      </c>
      <c r="E5" s="7">
        <f>C5*D5</f>
        <v>60</v>
      </c>
      <c r="F5" s="7" t="s">
        <v>570</v>
      </c>
    </row>
    <row r="6" spans="3:5">
      <c r="C6" s="8" t="s">
        <v>18</v>
      </c>
      <c r="D6" s="8"/>
      <c r="E6" s="8">
        <f>SUM(E5:E5)</f>
        <v>60</v>
      </c>
    </row>
    <row r="11" spans="2:2">
      <c r="B11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J22" sqref="J22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753</v>
      </c>
      <c r="B1" s="1"/>
      <c r="C1" s="1"/>
      <c r="D1" s="1" t="s">
        <v>733</v>
      </c>
      <c r="E1" s="1"/>
      <c r="F1" s="1"/>
    </row>
    <row r="2" spans="1:6">
      <c r="A2" s="2" t="s">
        <v>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6636</v>
      </c>
      <c r="B5" s="7" t="s">
        <v>316</v>
      </c>
      <c r="C5" s="7">
        <v>350</v>
      </c>
      <c r="D5" s="7">
        <v>1.2</v>
      </c>
      <c r="E5" s="7">
        <f>C5*D5</f>
        <v>420</v>
      </c>
      <c r="F5" s="7" t="s">
        <v>570</v>
      </c>
    </row>
    <row r="6" spans="3:5">
      <c r="C6" s="8" t="s">
        <v>18</v>
      </c>
      <c r="D6" s="8"/>
      <c r="E6" s="8">
        <f>SUM(E5:E5)</f>
        <v>420</v>
      </c>
    </row>
    <row r="11" spans="2:2">
      <c r="B11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G15" sqref="G15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754</v>
      </c>
      <c r="B1" s="1"/>
      <c r="C1" s="1"/>
      <c r="D1" s="1" t="s">
        <v>733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6674</v>
      </c>
      <c r="B5" s="7" t="s">
        <v>120</v>
      </c>
      <c r="C5" s="7">
        <v>40</v>
      </c>
      <c r="D5" s="7">
        <v>1.2</v>
      </c>
      <c r="E5" s="7">
        <f>C5*D5</f>
        <v>48</v>
      </c>
      <c r="F5" s="7" t="s">
        <v>570</v>
      </c>
    </row>
    <row r="6" spans="1:6">
      <c r="A6" s="7">
        <v>6675</v>
      </c>
      <c r="B6" s="7" t="s">
        <v>121</v>
      </c>
      <c r="C6" s="7">
        <v>40</v>
      </c>
      <c r="D6" s="7">
        <v>1.2</v>
      </c>
      <c r="E6" s="7">
        <f t="shared" ref="E6:E12" si="0">C6*D6</f>
        <v>48</v>
      </c>
      <c r="F6" s="7" t="s">
        <v>570</v>
      </c>
    </row>
    <row r="7" spans="1:6">
      <c r="A7" s="7">
        <v>6675</v>
      </c>
      <c r="B7" s="7" t="s">
        <v>123</v>
      </c>
      <c r="C7" s="7">
        <v>40</v>
      </c>
      <c r="D7" s="7">
        <v>1.2</v>
      </c>
      <c r="E7" s="7">
        <f t="shared" si="0"/>
        <v>48</v>
      </c>
      <c r="F7" s="7" t="s">
        <v>570</v>
      </c>
    </row>
    <row r="8" spans="1:6">
      <c r="A8" s="7">
        <v>6671</v>
      </c>
      <c r="B8" s="7" t="s">
        <v>704</v>
      </c>
      <c r="C8" s="7">
        <v>40</v>
      </c>
      <c r="D8" s="7">
        <v>1.2</v>
      </c>
      <c r="E8" s="7">
        <f t="shared" si="0"/>
        <v>48</v>
      </c>
      <c r="F8" s="7" t="s">
        <v>570</v>
      </c>
    </row>
    <row r="9" spans="1:6">
      <c r="A9" s="7">
        <v>6669</v>
      </c>
      <c r="B9" s="7" t="s">
        <v>702</v>
      </c>
      <c r="C9" s="7">
        <v>40</v>
      </c>
      <c r="D9" s="7">
        <v>1.2</v>
      </c>
      <c r="E9" s="7">
        <f t="shared" si="0"/>
        <v>48</v>
      </c>
      <c r="F9" s="7" t="s">
        <v>570</v>
      </c>
    </row>
    <row r="10" spans="1:6">
      <c r="A10" s="7">
        <v>6670</v>
      </c>
      <c r="B10" s="7" t="s">
        <v>703</v>
      </c>
      <c r="C10" s="7">
        <v>40</v>
      </c>
      <c r="D10" s="7">
        <v>1.2</v>
      </c>
      <c r="E10" s="7">
        <f t="shared" si="0"/>
        <v>48</v>
      </c>
      <c r="F10" s="7" t="s">
        <v>570</v>
      </c>
    </row>
    <row r="11" spans="1:6">
      <c r="A11" s="7">
        <v>6673</v>
      </c>
      <c r="B11" s="7" t="s">
        <v>122</v>
      </c>
      <c r="C11" s="7">
        <v>40</v>
      </c>
      <c r="D11" s="7">
        <v>1.2</v>
      </c>
      <c r="E11" s="7">
        <f t="shared" si="0"/>
        <v>48</v>
      </c>
      <c r="F11" s="7" t="s">
        <v>570</v>
      </c>
    </row>
    <row r="12" spans="1:6">
      <c r="A12" s="7">
        <v>6672</v>
      </c>
      <c r="B12" s="7" t="s">
        <v>184</v>
      </c>
      <c r="C12" s="7">
        <v>40</v>
      </c>
      <c r="D12" s="7">
        <v>1.2</v>
      </c>
      <c r="E12" s="7">
        <f t="shared" si="0"/>
        <v>48</v>
      </c>
      <c r="F12" s="7" t="s">
        <v>570</v>
      </c>
    </row>
    <row r="13" spans="3:5">
      <c r="C13" s="8" t="s">
        <v>18</v>
      </c>
      <c r="D13" s="8"/>
      <c r="E13" s="8">
        <f>SUM(E5:E12)</f>
        <v>384</v>
      </c>
    </row>
    <row r="18" spans="2:2">
      <c r="B18" s="7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21" sqref="F21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755</v>
      </c>
      <c r="B1" s="1"/>
      <c r="C1" s="1"/>
      <c r="D1" s="1" t="s">
        <v>756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6733</v>
      </c>
      <c r="B5" s="22" t="s">
        <v>757</v>
      </c>
      <c r="C5" s="27">
        <v>40</v>
      </c>
      <c r="D5" s="7">
        <v>1.2</v>
      </c>
      <c r="E5" s="7">
        <f>C5*D5</f>
        <v>48</v>
      </c>
      <c r="F5" s="7" t="s">
        <v>570</v>
      </c>
    </row>
    <row r="6" spans="3:5">
      <c r="C6" s="8" t="s">
        <v>18</v>
      </c>
      <c r="D6" s="8"/>
      <c r="E6" s="8">
        <f>SUM(E5:E5)</f>
        <v>48</v>
      </c>
    </row>
    <row r="16" spans="2:2">
      <c r="B16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G13" sqref="G13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758</v>
      </c>
      <c r="B1" s="1"/>
      <c r="C1" s="1"/>
      <c r="D1" s="1" t="s">
        <v>756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6568</v>
      </c>
      <c r="B5" s="22" t="s">
        <v>70</v>
      </c>
      <c r="C5" s="27">
        <v>450</v>
      </c>
      <c r="D5" s="7">
        <v>2757</v>
      </c>
      <c r="E5" s="7">
        <f>C5*D5</f>
        <v>1240650</v>
      </c>
      <c r="F5" s="7" t="s">
        <v>655</v>
      </c>
    </row>
    <row r="6" spans="3:5">
      <c r="C6" s="8" t="s">
        <v>18</v>
      </c>
      <c r="D6" s="8"/>
      <c r="E6" s="8">
        <f>SUM(E5:E5)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G17" sqref="G17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759</v>
      </c>
      <c r="B1" s="1"/>
      <c r="C1" s="1"/>
      <c r="D1" s="1" t="s">
        <v>756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6546</v>
      </c>
      <c r="B5" s="22" t="s">
        <v>543</v>
      </c>
      <c r="C5" s="27">
        <v>100</v>
      </c>
      <c r="D5" s="7">
        <v>2875</v>
      </c>
      <c r="E5" s="7">
        <f>C5*D5</f>
        <v>287500</v>
      </c>
      <c r="F5" s="7" t="s">
        <v>570</v>
      </c>
    </row>
    <row r="6" spans="1:6">
      <c r="A6" s="27">
        <v>6534</v>
      </c>
      <c r="B6" s="22" t="s">
        <v>760</v>
      </c>
      <c r="C6" s="27">
        <v>100</v>
      </c>
      <c r="D6" s="7">
        <v>2875</v>
      </c>
      <c r="E6" s="7">
        <f>C6*D6</f>
        <v>287500</v>
      </c>
      <c r="F6" s="7" t="s">
        <v>570</v>
      </c>
    </row>
    <row r="7" spans="1:6">
      <c r="A7" s="7">
        <v>6510</v>
      </c>
      <c r="B7" s="22" t="s">
        <v>600</v>
      </c>
      <c r="C7" s="7">
        <v>100</v>
      </c>
      <c r="D7" s="7">
        <v>2875</v>
      </c>
      <c r="E7" s="7">
        <f>C7*D7</f>
        <v>287500</v>
      </c>
      <c r="F7" s="7" t="s">
        <v>570</v>
      </c>
    </row>
    <row r="8" spans="1:6">
      <c r="A8" s="7">
        <v>6507</v>
      </c>
      <c r="B8" s="22" t="s">
        <v>601</v>
      </c>
      <c r="C8" s="7">
        <v>100</v>
      </c>
      <c r="D8" s="7">
        <v>2875</v>
      </c>
      <c r="E8" s="7">
        <f>C8*D8</f>
        <v>287500</v>
      </c>
      <c r="F8" s="7" t="s">
        <v>570</v>
      </c>
    </row>
    <row r="9" spans="1:6">
      <c r="A9" s="7">
        <v>6640</v>
      </c>
      <c r="B9" s="22" t="s">
        <v>183</v>
      </c>
      <c r="C9" s="7">
        <v>100</v>
      </c>
      <c r="D9" s="7">
        <v>2875</v>
      </c>
      <c r="E9" s="7">
        <f>C9*D9</f>
        <v>287500</v>
      </c>
      <c r="F9" s="7" t="s">
        <v>570</v>
      </c>
    </row>
    <row r="10" spans="3:5">
      <c r="C10" s="8" t="s">
        <v>18</v>
      </c>
      <c r="D10" s="8"/>
      <c r="E10" s="8">
        <f>SUM(E5:E9)</f>
        <v>1437500</v>
      </c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pageSetup paperSize="9" orientation="portrait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2" sqref="G12"/>
    </sheetView>
  </sheetViews>
  <sheetFormatPr defaultColWidth="9" defaultRowHeight="14.25" outlineLevelRow="6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761</v>
      </c>
      <c r="B1" s="1"/>
      <c r="C1" s="1"/>
      <c r="D1" s="1" t="s">
        <v>756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6556</v>
      </c>
      <c r="B5" s="22" t="s">
        <v>762</v>
      </c>
      <c r="C5" s="27">
        <v>450</v>
      </c>
      <c r="D5" s="7">
        <v>2757</v>
      </c>
      <c r="E5" s="7">
        <f>C5*D5</f>
        <v>1240650</v>
      </c>
      <c r="F5" s="7" t="s">
        <v>763</v>
      </c>
    </row>
    <row r="6" spans="1:6">
      <c r="A6" s="7">
        <v>6554</v>
      </c>
      <c r="B6" s="22" t="s">
        <v>119</v>
      </c>
      <c r="C6" s="27">
        <v>450</v>
      </c>
      <c r="D6" s="7">
        <v>2757</v>
      </c>
      <c r="E6" s="7">
        <f>C6*D6</f>
        <v>1240650</v>
      </c>
      <c r="F6" s="7" t="s">
        <v>763</v>
      </c>
    </row>
    <row r="7" spans="3:5">
      <c r="C7" s="8" t="s">
        <v>18</v>
      </c>
      <c r="D7" s="8"/>
      <c r="E7" s="8">
        <f>SUM(E5:E6)</f>
        <v>2481300</v>
      </c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G15" sqref="G15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764</v>
      </c>
      <c r="B1" s="1"/>
      <c r="C1" s="1"/>
      <c r="D1" s="1" t="s">
        <v>756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6559</v>
      </c>
      <c r="B5" s="22" t="s">
        <v>117</v>
      </c>
      <c r="C5" s="27">
        <v>450</v>
      </c>
      <c r="D5" s="7">
        <v>2757</v>
      </c>
      <c r="E5" s="7">
        <f>C5*D5</f>
        <v>1240650</v>
      </c>
      <c r="F5" s="7" t="s">
        <v>763</v>
      </c>
    </row>
    <row r="6" spans="3:5">
      <c r="C6" s="8" t="s">
        <v>18</v>
      </c>
      <c r="D6" s="8"/>
      <c r="E6" s="8">
        <f>SUM(E5:E5)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23" sqref="F23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765</v>
      </c>
      <c r="B1" s="1"/>
      <c r="C1" s="1"/>
      <c r="D1" s="1" t="s">
        <v>756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6639</v>
      </c>
      <c r="B5" s="22" t="s">
        <v>549</v>
      </c>
      <c r="C5" s="27">
        <v>100</v>
      </c>
      <c r="D5" s="7">
        <v>2875</v>
      </c>
      <c r="E5" s="7">
        <f>C5*D5</f>
        <v>287500</v>
      </c>
      <c r="F5" s="7" t="s">
        <v>570</v>
      </c>
    </row>
    <row r="6" spans="3:5">
      <c r="C6" s="8" t="s">
        <v>18</v>
      </c>
      <c r="D6" s="8"/>
      <c r="E6" s="8">
        <f>SUM(E5:E5)</f>
        <v>287500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9" sqref="G19"/>
    </sheetView>
  </sheetViews>
  <sheetFormatPr defaultColWidth="9" defaultRowHeight="14.25" outlineLevelRow="6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766</v>
      </c>
      <c r="B1" s="1"/>
      <c r="C1" s="1"/>
      <c r="D1" s="1" t="s">
        <v>756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6576</v>
      </c>
      <c r="B5" s="7" t="s">
        <v>128</v>
      </c>
      <c r="C5" s="27">
        <v>450</v>
      </c>
      <c r="D5" s="7">
        <v>2757</v>
      </c>
      <c r="E5" s="7">
        <f>C5*D5</f>
        <v>1240650</v>
      </c>
      <c r="F5" s="7" t="s">
        <v>763</v>
      </c>
    </row>
    <row r="6" spans="1:6">
      <c r="A6" s="7">
        <v>6553</v>
      </c>
      <c r="B6" s="7" t="s">
        <v>112</v>
      </c>
      <c r="C6" s="27">
        <v>450</v>
      </c>
      <c r="D6" s="7">
        <v>2757</v>
      </c>
      <c r="E6" s="7">
        <f>C6*D6</f>
        <v>1240650</v>
      </c>
      <c r="F6" s="7" t="s">
        <v>763</v>
      </c>
    </row>
    <row r="7" spans="3:5">
      <c r="C7" s="8" t="s">
        <v>18</v>
      </c>
      <c r="D7" s="8"/>
      <c r="E7" s="7">
        <f>SUM(E5:E6)</f>
        <v>2481300</v>
      </c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opLeftCell="A2" workbookViewId="0">
      <selection activeCell="F11" sqref="F11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767</v>
      </c>
      <c r="B1" s="1"/>
      <c r="C1" s="1"/>
      <c r="D1" s="1" t="s">
        <v>756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6558</v>
      </c>
      <c r="B5" s="7" t="s">
        <v>114</v>
      </c>
      <c r="C5" s="27">
        <v>450</v>
      </c>
      <c r="D5" s="7">
        <v>2757</v>
      </c>
      <c r="E5" s="7">
        <f>C5*D5</f>
        <v>1240650</v>
      </c>
      <c r="F5" s="7" t="s">
        <v>655</v>
      </c>
    </row>
    <row r="6" spans="3:5">
      <c r="C6" s="8" t="s">
        <v>18</v>
      </c>
      <c r="D6" s="8"/>
      <c r="E6" s="7">
        <f>SUM(E5)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H15" sqref="H15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768</v>
      </c>
      <c r="B1" s="1"/>
      <c r="C1" s="1"/>
      <c r="D1" s="1" t="s">
        <v>756</v>
      </c>
      <c r="E1" s="1"/>
      <c r="F1" s="1"/>
    </row>
    <row r="2" spans="1:6">
      <c r="A2" s="2" t="s">
        <v>20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49</v>
      </c>
      <c r="B5" s="22" t="s">
        <v>420</v>
      </c>
      <c r="C5" s="27">
        <v>40</v>
      </c>
      <c r="D5" s="7">
        <v>2875</v>
      </c>
      <c r="E5" s="7">
        <f>C5*D5</f>
        <v>115000</v>
      </c>
      <c r="F5" s="7" t="s">
        <v>49</v>
      </c>
    </row>
    <row r="6" spans="3:5">
      <c r="C6" s="8" t="s">
        <v>18</v>
      </c>
      <c r="D6" s="8"/>
      <c r="E6" s="8">
        <f>SUM(E5)</f>
        <v>115000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28" sqref="I28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769</v>
      </c>
      <c r="B1" s="1"/>
      <c r="C1" s="1"/>
      <c r="D1" s="1" t="s">
        <v>756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6575</v>
      </c>
      <c r="B5" s="22" t="s">
        <v>131</v>
      </c>
      <c r="C5" s="27">
        <v>450</v>
      </c>
      <c r="D5" s="7">
        <v>2757</v>
      </c>
      <c r="E5" s="7">
        <f>C5*D5</f>
        <v>1240650</v>
      </c>
      <c r="F5" s="7" t="s">
        <v>655</v>
      </c>
    </row>
    <row r="6" spans="3:5">
      <c r="C6" s="8" t="s">
        <v>18</v>
      </c>
      <c r="D6" s="8"/>
      <c r="E6" s="8">
        <f>SUM(E5)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5" sqref="A5:D5 F5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770</v>
      </c>
      <c r="B1" s="1"/>
      <c r="C1" s="1"/>
      <c r="D1" s="1" t="s">
        <v>756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6555</v>
      </c>
      <c r="B5" s="22" t="s">
        <v>111</v>
      </c>
      <c r="C5" s="27">
        <v>450</v>
      </c>
      <c r="D5" s="7">
        <v>2757</v>
      </c>
      <c r="E5" s="7">
        <f>C5*D5</f>
        <v>1240650</v>
      </c>
      <c r="F5" s="7" t="s">
        <v>655</v>
      </c>
    </row>
    <row r="6" spans="3:5">
      <c r="C6" s="8" t="s">
        <v>18</v>
      </c>
      <c r="D6" s="8"/>
      <c r="E6" s="8">
        <f>SUM(E5)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18" sqref="E18"/>
    </sheetView>
  </sheetViews>
  <sheetFormatPr defaultColWidth="9" defaultRowHeight="14.25" outlineLevelRow="6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772</v>
      </c>
      <c r="B1" s="1"/>
      <c r="C1" s="1"/>
      <c r="D1" s="1" t="s">
        <v>756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6607</v>
      </c>
      <c r="B5" s="7" t="s">
        <v>557</v>
      </c>
      <c r="C5" s="27">
        <v>100</v>
      </c>
      <c r="D5" s="7">
        <v>2875</v>
      </c>
      <c r="E5" s="7">
        <f>C5*D5</f>
        <v>287500</v>
      </c>
      <c r="F5" s="7" t="s">
        <v>570</v>
      </c>
    </row>
    <row r="6" spans="1:6">
      <c r="A6" s="27">
        <v>6538</v>
      </c>
      <c r="B6" s="22" t="s">
        <v>774</v>
      </c>
      <c r="C6" s="27">
        <v>100</v>
      </c>
      <c r="D6" s="7">
        <v>2875</v>
      </c>
      <c r="E6" s="7">
        <f>C6*D6</f>
        <v>287500</v>
      </c>
      <c r="F6" s="7" t="s">
        <v>570</v>
      </c>
    </row>
    <row r="7" spans="3:5">
      <c r="C7" s="8" t="s">
        <v>18</v>
      </c>
      <c r="D7" s="8"/>
      <c r="E7" s="8">
        <f>SUM(E5:E6)</f>
        <v>575000</v>
      </c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23" sqref="I23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775</v>
      </c>
      <c r="B1" s="1"/>
      <c r="C1" s="1"/>
      <c r="D1" s="1" t="s">
        <v>756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6665</v>
      </c>
      <c r="B5" s="22" t="s">
        <v>776</v>
      </c>
      <c r="C5" s="27">
        <v>450</v>
      </c>
      <c r="D5" s="7">
        <v>2757</v>
      </c>
      <c r="E5" s="7">
        <f>C5*D5</f>
        <v>1240650</v>
      </c>
      <c r="F5" s="7" t="s">
        <v>655</v>
      </c>
    </row>
    <row r="6" spans="3:5">
      <c r="C6" s="8" t="s">
        <v>18</v>
      </c>
      <c r="D6" s="8"/>
      <c r="E6" s="8">
        <f>SUM(E5)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20" sqref="F20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777</v>
      </c>
      <c r="B1" s="1"/>
      <c r="C1" s="1"/>
      <c r="D1" s="1" t="s">
        <v>756</v>
      </c>
      <c r="E1" s="1"/>
      <c r="F1" s="1"/>
    </row>
    <row r="2" spans="1:6">
      <c r="A2" s="2" t="s">
        <v>778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6668</v>
      </c>
      <c r="B5" s="22" t="s">
        <v>779</v>
      </c>
      <c r="C5" s="27">
        <v>40</v>
      </c>
      <c r="D5" s="7">
        <v>1.2</v>
      </c>
      <c r="E5" s="7">
        <f>C5*D5</f>
        <v>48</v>
      </c>
      <c r="F5" s="27" t="s">
        <v>570</v>
      </c>
    </row>
    <row r="6" spans="3:5">
      <c r="C6" s="8" t="s">
        <v>18</v>
      </c>
      <c r="D6" s="8"/>
      <c r="E6" s="8">
        <f>SUM(E5)</f>
        <v>48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G15" sqref="G15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780</v>
      </c>
      <c r="B1" s="1"/>
      <c r="C1" s="1"/>
      <c r="D1" s="1" t="s">
        <v>756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6590</v>
      </c>
      <c r="B5" s="22" t="s">
        <v>515</v>
      </c>
      <c r="C5" s="27">
        <v>60</v>
      </c>
      <c r="D5" s="7">
        <v>1.2</v>
      </c>
      <c r="E5" s="7">
        <f>C5*D5</f>
        <v>72</v>
      </c>
      <c r="F5" s="7" t="s">
        <v>726</v>
      </c>
    </row>
    <row r="6" spans="3:5">
      <c r="C6" s="8" t="s">
        <v>18</v>
      </c>
      <c r="D6" s="8"/>
      <c r="E6" s="8">
        <f>SUM(E5)</f>
        <v>72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18" sqref="G18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782</v>
      </c>
      <c r="B1" s="1"/>
      <c r="C1" s="1"/>
      <c r="D1" s="1" t="s">
        <v>756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37">
        <v>6546</v>
      </c>
      <c r="B5" s="36" t="s">
        <v>543</v>
      </c>
      <c r="C5" s="37">
        <v>400</v>
      </c>
      <c r="D5" s="7">
        <v>2757</v>
      </c>
      <c r="E5" s="7">
        <f>C5*D5</f>
        <v>1102800</v>
      </c>
      <c r="F5" s="7" t="s">
        <v>570</v>
      </c>
    </row>
    <row r="6" spans="1:6">
      <c r="A6" s="37">
        <v>6534</v>
      </c>
      <c r="B6" s="36" t="s">
        <v>760</v>
      </c>
      <c r="C6" s="37">
        <v>400</v>
      </c>
      <c r="D6" s="7">
        <v>2757</v>
      </c>
      <c r="E6" s="7">
        <f t="shared" ref="E6:E12" si="0">C6*D6</f>
        <v>1102800</v>
      </c>
      <c r="F6" s="7" t="s">
        <v>570</v>
      </c>
    </row>
    <row r="7" spans="1:6">
      <c r="A7" s="17">
        <v>6510</v>
      </c>
      <c r="B7" s="36" t="s">
        <v>600</v>
      </c>
      <c r="C7" s="17">
        <v>400</v>
      </c>
      <c r="D7" s="7">
        <v>2757</v>
      </c>
      <c r="E7" s="7">
        <f t="shared" si="0"/>
        <v>1102800</v>
      </c>
      <c r="F7" s="7" t="s">
        <v>570</v>
      </c>
    </row>
    <row r="8" spans="1:6">
      <c r="A8" s="17">
        <v>6507</v>
      </c>
      <c r="B8" s="36" t="s">
        <v>601</v>
      </c>
      <c r="C8" s="17">
        <v>400</v>
      </c>
      <c r="D8" s="7">
        <v>2757</v>
      </c>
      <c r="E8" s="7">
        <f t="shared" si="0"/>
        <v>1102800</v>
      </c>
      <c r="F8" s="7" t="s">
        <v>570</v>
      </c>
    </row>
    <row r="9" spans="1:6">
      <c r="A9" s="17">
        <v>6640</v>
      </c>
      <c r="B9" s="36" t="s">
        <v>183</v>
      </c>
      <c r="C9" s="17">
        <v>400</v>
      </c>
      <c r="D9" s="7">
        <v>2757</v>
      </c>
      <c r="E9" s="7">
        <f t="shared" si="0"/>
        <v>1102800</v>
      </c>
      <c r="F9" s="7" t="s">
        <v>570</v>
      </c>
    </row>
    <row r="10" spans="1:6">
      <c r="A10" s="17">
        <v>6639</v>
      </c>
      <c r="B10" s="36" t="s">
        <v>549</v>
      </c>
      <c r="C10" s="37">
        <v>400</v>
      </c>
      <c r="D10" s="7">
        <v>2757</v>
      </c>
      <c r="E10" s="7">
        <f t="shared" si="0"/>
        <v>1102800</v>
      </c>
      <c r="F10" s="7" t="s">
        <v>570</v>
      </c>
    </row>
    <row r="11" spans="1:6">
      <c r="A11" s="37">
        <v>6607</v>
      </c>
      <c r="B11" s="17" t="s">
        <v>557</v>
      </c>
      <c r="C11" s="37">
        <v>400</v>
      </c>
      <c r="D11" s="7">
        <v>2757</v>
      </c>
      <c r="E11" s="7">
        <f t="shared" si="0"/>
        <v>1102800</v>
      </c>
      <c r="F11" s="7" t="s">
        <v>570</v>
      </c>
    </row>
    <row r="12" spans="1:6">
      <c r="A12" s="37">
        <v>6538</v>
      </c>
      <c r="B12" s="36" t="s">
        <v>774</v>
      </c>
      <c r="C12" s="37">
        <v>400</v>
      </c>
      <c r="D12" s="7">
        <v>2757</v>
      </c>
      <c r="E12" s="7">
        <f t="shared" si="0"/>
        <v>1102800</v>
      </c>
      <c r="F12" s="7" t="s">
        <v>570</v>
      </c>
    </row>
    <row r="13" spans="3:5">
      <c r="C13" s="8" t="s">
        <v>18</v>
      </c>
      <c r="D13" s="8"/>
      <c r="E13" s="8">
        <f>SUM(E5:E12)</f>
        <v>8822400</v>
      </c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14" sqref="F14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783</v>
      </c>
      <c r="B1" s="1"/>
      <c r="C1" s="1"/>
      <c r="D1" s="1" t="s">
        <v>756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6376</v>
      </c>
      <c r="B5" s="36" t="s">
        <v>148</v>
      </c>
      <c r="C5" s="37">
        <v>100</v>
      </c>
      <c r="D5" s="7">
        <v>2875</v>
      </c>
      <c r="E5" s="7">
        <f>C5*D5</f>
        <v>287500</v>
      </c>
      <c r="F5" s="7" t="s">
        <v>570</v>
      </c>
    </row>
    <row r="6" spans="3:5">
      <c r="C6" s="8" t="s">
        <v>18</v>
      </c>
      <c r="D6" s="8"/>
      <c r="E6" s="8">
        <f>SUM(E5:E5)</f>
        <v>287500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G32" sqref="G32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784</v>
      </c>
      <c r="B1" s="1"/>
      <c r="C1" s="1"/>
      <c r="D1" s="1" t="s">
        <v>756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6376</v>
      </c>
      <c r="B5" s="36" t="s">
        <v>148</v>
      </c>
      <c r="C5" s="37">
        <v>100</v>
      </c>
      <c r="D5" s="7">
        <v>2757</v>
      </c>
      <c r="E5" s="7">
        <f>C5*D5</f>
        <v>275700</v>
      </c>
      <c r="F5" s="7" t="s">
        <v>570</v>
      </c>
    </row>
    <row r="6" spans="3:5">
      <c r="C6" s="8" t="s">
        <v>18</v>
      </c>
      <c r="D6" s="8"/>
      <c r="E6" s="8">
        <f>SUM(E5:E5)</f>
        <v>275700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L38" sqref="L38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785</v>
      </c>
      <c r="B1" s="1"/>
      <c r="C1" s="1"/>
      <c r="D1" s="1" t="s">
        <v>756</v>
      </c>
      <c r="E1" s="1"/>
      <c r="F1" s="1"/>
    </row>
    <row r="2" spans="1:6">
      <c r="A2" s="2" t="s">
        <v>778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6680</v>
      </c>
      <c r="B5" s="7" t="s">
        <v>209</v>
      </c>
      <c r="C5" s="7">
        <v>40</v>
      </c>
      <c r="D5" s="7">
        <v>1.2</v>
      </c>
      <c r="E5" s="7">
        <f>C5*D5</f>
        <v>48</v>
      </c>
      <c r="F5" s="7" t="s">
        <v>570</v>
      </c>
    </row>
    <row r="6" spans="1:6">
      <c r="A6" s="7">
        <v>6679</v>
      </c>
      <c r="B6" s="7" t="s">
        <v>175</v>
      </c>
      <c r="C6" s="7">
        <v>40</v>
      </c>
      <c r="D6" s="7">
        <v>1.2</v>
      </c>
      <c r="E6" s="7">
        <f>C6*D6</f>
        <v>48</v>
      </c>
      <c r="F6" s="7" t="s">
        <v>570</v>
      </c>
    </row>
    <row r="7" spans="1:6">
      <c r="A7" s="7">
        <v>6682</v>
      </c>
      <c r="B7" s="7" t="s">
        <v>177</v>
      </c>
      <c r="C7" s="7">
        <v>40</v>
      </c>
      <c r="D7" s="7">
        <v>1.2</v>
      </c>
      <c r="E7" s="7">
        <f>C7*D7</f>
        <v>48</v>
      </c>
      <c r="F7" s="7" t="s">
        <v>570</v>
      </c>
    </row>
    <row r="8" spans="1:6">
      <c r="A8" s="7">
        <v>6681</v>
      </c>
      <c r="B8" s="36" t="s">
        <v>178</v>
      </c>
      <c r="C8" s="37">
        <v>40</v>
      </c>
      <c r="D8" s="7">
        <v>1.2</v>
      </c>
      <c r="E8" s="7">
        <f>C8*D8</f>
        <v>48</v>
      </c>
      <c r="F8" s="7" t="s">
        <v>570</v>
      </c>
    </row>
    <row r="9" spans="3:5">
      <c r="C9" s="8" t="s">
        <v>18</v>
      </c>
      <c r="D9" s="8"/>
      <c r="E9" s="8">
        <f>SUM(E5:E8)</f>
        <v>192</v>
      </c>
    </row>
  </sheetData>
  <mergeCells count="6">
    <mergeCell ref="A1:C1"/>
    <mergeCell ref="D1:F1"/>
    <mergeCell ref="A2:C2"/>
    <mergeCell ref="D2:F2"/>
    <mergeCell ref="A3:F3"/>
    <mergeCell ref="C9:D9"/>
  </mergeCells>
  <pageMargins left="0.7" right="0.7" top="0.75" bottom="0.75" header="0.3" footer="0.3"/>
  <pageSetup paperSize="9" orientation="portrait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30" sqref="J30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786</v>
      </c>
      <c r="B1" s="1"/>
      <c r="C1" s="1"/>
      <c r="D1" s="1" t="s">
        <v>756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6597</v>
      </c>
      <c r="B5" s="7" t="s">
        <v>23</v>
      </c>
      <c r="C5" s="7">
        <v>70</v>
      </c>
      <c r="D5" s="7">
        <v>1.2</v>
      </c>
      <c r="E5" s="7">
        <f>C5*D5</f>
        <v>84</v>
      </c>
      <c r="F5" s="7" t="s">
        <v>570</v>
      </c>
    </row>
    <row r="6" spans="3:5">
      <c r="C6" s="8" t="s">
        <v>18</v>
      </c>
      <c r="D6" s="8"/>
      <c r="E6" s="8">
        <f>SUM(E5:E5)</f>
        <v>84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H37" sqref="H37"/>
    </sheetView>
  </sheetViews>
  <sheetFormatPr defaultColWidth="9" defaultRowHeight="14.25" outlineLevelRow="6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787</v>
      </c>
      <c r="B1" s="1"/>
      <c r="C1" s="1"/>
      <c r="D1" s="1" t="s">
        <v>756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6578</v>
      </c>
      <c r="B5" s="7" t="s">
        <v>40</v>
      </c>
      <c r="C5" s="7">
        <v>10</v>
      </c>
      <c r="D5" s="7">
        <v>1.2</v>
      </c>
      <c r="E5" s="7">
        <f>C5*D5</f>
        <v>12</v>
      </c>
      <c r="F5" s="7" t="s">
        <v>763</v>
      </c>
    </row>
    <row r="6" spans="1:6">
      <c r="A6" s="7">
        <v>6579</v>
      </c>
      <c r="B6" s="7" t="s">
        <v>33</v>
      </c>
      <c r="C6" s="7">
        <v>560</v>
      </c>
      <c r="D6" s="7">
        <v>1.2</v>
      </c>
      <c r="E6" s="7">
        <f>C6*D6</f>
        <v>672</v>
      </c>
      <c r="F6" s="7" t="s">
        <v>763</v>
      </c>
    </row>
    <row r="7" spans="3:5">
      <c r="C7" s="8" t="s">
        <v>18</v>
      </c>
      <c r="D7" s="8"/>
      <c r="E7" s="8">
        <f>SUM(E5:E6)</f>
        <v>684</v>
      </c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12" sqref="F12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788</v>
      </c>
      <c r="B1" s="1"/>
      <c r="C1" s="1"/>
      <c r="D1" s="1" t="s">
        <v>756</v>
      </c>
      <c r="E1" s="1"/>
      <c r="F1" s="1"/>
    </row>
    <row r="2" spans="1:6">
      <c r="A2" s="2" t="s">
        <v>789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6415</v>
      </c>
      <c r="B5" s="7" t="s">
        <v>790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3:5">
      <c r="C6" s="8" t="s">
        <v>18</v>
      </c>
      <c r="D6" s="8"/>
      <c r="E6" s="8">
        <f>SUM(E5:E5)</f>
        <v>287500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K37" sqref="K37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791</v>
      </c>
      <c r="B1" s="1"/>
      <c r="C1" s="1"/>
      <c r="D1" s="1" t="s">
        <v>756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6692</v>
      </c>
      <c r="B5" s="7" t="s">
        <v>228</v>
      </c>
      <c r="C5" s="7">
        <v>450</v>
      </c>
      <c r="D5" s="7">
        <v>2757</v>
      </c>
      <c r="E5" s="7">
        <f>C5*D5</f>
        <v>1240650</v>
      </c>
      <c r="F5" s="7" t="s">
        <v>212</v>
      </c>
    </row>
    <row r="6" spans="3:5">
      <c r="C6" s="8" t="s">
        <v>18</v>
      </c>
      <c r="D6" s="8"/>
      <c r="E6" s="8">
        <f>SUM(E5:E5)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K38" sqref="K38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792</v>
      </c>
      <c r="B1" s="1"/>
      <c r="C1" s="1"/>
      <c r="D1" s="1" t="s">
        <v>756</v>
      </c>
      <c r="E1" s="1"/>
      <c r="F1" s="1"/>
    </row>
    <row r="2" spans="1:6">
      <c r="A2" s="2" t="s">
        <v>793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6668</v>
      </c>
      <c r="B5" s="7" t="s">
        <v>779</v>
      </c>
      <c r="C5" s="7">
        <v>50</v>
      </c>
      <c r="D5" s="7">
        <v>1.2</v>
      </c>
      <c r="E5" s="7">
        <f>SUM(C5*D5)</f>
        <v>60</v>
      </c>
      <c r="F5" s="7" t="s">
        <v>570</v>
      </c>
    </row>
    <row r="6" spans="3:5">
      <c r="C6" s="8" t="s">
        <v>18</v>
      </c>
      <c r="D6" s="8"/>
      <c r="E6" s="8">
        <f>SUM(E5:E5)</f>
        <v>60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F36" sqref="F36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794</v>
      </c>
      <c r="B1" s="1"/>
      <c r="C1" s="1"/>
      <c r="D1" s="1" t="s">
        <v>756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6668</v>
      </c>
      <c r="B5" s="7" t="s">
        <v>779</v>
      </c>
      <c r="C5" s="7">
        <v>350</v>
      </c>
      <c r="D5" s="7">
        <v>1.2</v>
      </c>
      <c r="E5" s="7">
        <f>SUM(C5*D5)</f>
        <v>420</v>
      </c>
      <c r="F5" s="7" t="s">
        <v>570</v>
      </c>
    </row>
    <row r="6" spans="3:5">
      <c r="C6" s="8" t="s">
        <v>18</v>
      </c>
      <c r="D6" s="8"/>
      <c r="E6" s="8">
        <f>SUM(E5:E5)</f>
        <v>420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G27" sqref="G2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795</v>
      </c>
      <c r="B1" s="1"/>
      <c r="C1" s="1"/>
      <c r="D1" s="1" t="s">
        <v>796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6415</v>
      </c>
      <c r="B5" s="17" t="s">
        <v>605</v>
      </c>
      <c r="C5" s="17">
        <v>400</v>
      </c>
      <c r="D5" s="17">
        <v>2757</v>
      </c>
      <c r="E5" s="17">
        <f t="shared" ref="E5:E10" si="0">C5*D5</f>
        <v>1102800</v>
      </c>
      <c r="F5" s="17" t="s">
        <v>570</v>
      </c>
    </row>
    <row r="6" spans="1:6">
      <c r="A6" s="7">
        <v>6509</v>
      </c>
      <c r="B6" s="17" t="s">
        <v>603</v>
      </c>
      <c r="C6" s="17">
        <v>40</v>
      </c>
      <c r="D6" s="17">
        <v>2757</v>
      </c>
      <c r="E6" s="17">
        <f t="shared" si="0"/>
        <v>110280</v>
      </c>
      <c r="F6" s="17" t="s">
        <v>570</v>
      </c>
    </row>
    <row r="7" spans="1:6">
      <c r="A7" s="27">
        <v>6615</v>
      </c>
      <c r="B7" s="17" t="s">
        <v>555</v>
      </c>
      <c r="C7" s="17">
        <v>20</v>
      </c>
      <c r="D7" s="17">
        <v>2757</v>
      </c>
      <c r="E7" s="17">
        <f t="shared" si="0"/>
        <v>55140</v>
      </c>
      <c r="F7" s="17" t="s">
        <v>570</v>
      </c>
    </row>
    <row r="8" spans="1:6">
      <c r="A8" s="7">
        <v>6608</v>
      </c>
      <c r="B8" s="17" t="s">
        <v>550</v>
      </c>
      <c r="C8" s="17">
        <v>20</v>
      </c>
      <c r="D8" s="17">
        <v>2757</v>
      </c>
      <c r="E8" s="17">
        <f t="shared" si="0"/>
        <v>55140</v>
      </c>
      <c r="F8" s="17" t="s">
        <v>570</v>
      </c>
    </row>
    <row r="9" spans="1:6">
      <c r="A9" s="7">
        <v>6617</v>
      </c>
      <c r="B9" s="17" t="s">
        <v>560</v>
      </c>
      <c r="C9" s="17">
        <v>20</v>
      </c>
      <c r="D9" s="17">
        <v>2757</v>
      </c>
      <c r="E9" s="17">
        <f t="shared" si="0"/>
        <v>55140</v>
      </c>
      <c r="F9" s="17" t="s">
        <v>570</v>
      </c>
    </row>
    <row r="10" spans="1:6">
      <c r="A10" s="27">
        <v>6530</v>
      </c>
      <c r="B10" s="17" t="s">
        <v>597</v>
      </c>
      <c r="C10" s="17">
        <v>40</v>
      </c>
      <c r="D10" s="17">
        <v>2757</v>
      </c>
      <c r="E10" s="17">
        <f t="shared" si="0"/>
        <v>110280</v>
      </c>
      <c r="F10" s="17" t="s">
        <v>570</v>
      </c>
    </row>
    <row r="11" spans="3:5">
      <c r="C11" s="8" t="s">
        <v>18</v>
      </c>
      <c r="D11" s="8"/>
      <c r="E11" s="8">
        <f>SUM(E5:E10)</f>
        <v>1488780</v>
      </c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11:D11"/>
  </mergeCells>
  <pageMargins left="0.7" right="0.7" top="0.75" bottom="0.75" header="0.3" footer="0.3"/>
  <pageSetup paperSize="9" orientation="portrait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F39" sqref="F3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797</v>
      </c>
      <c r="B1" s="1"/>
      <c r="C1" s="1"/>
      <c r="D1" s="1" t="s">
        <v>796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6789</v>
      </c>
      <c r="B5" s="7" t="s">
        <v>290</v>
      </c>
      <c r="C5" s="7">
        <v>450</v>
      </c>
      <c r="D5" s="7">
        <v>2757</v>
      </c>
      <c r="E5" s="7">
        <f>C5*D5</f>
        <v>1240650</v>
      </c>
      <c r="F5" s="7" t="s">
        <v>655</v>
      </c>
    </row>
    <row r="6" spans="1:6">
      <c r="A6" s="7">
        <v>6594</v>
      </c>
      <c r="B6" s="7" t="s">
        <v>293</v>
      </c>
      <c r="C6" s="7">
        <v>450</v>
      </c>
      <c r="D6" s="7">
        <v>2757</v>
      </c>
      <c r="E6" s="7">
        <f>C6*D6</f>
        <v>1240650</v>
      </c>
      <c r="F6" s="7" t="s">
        <v>726</v>
      </c>
    </row>
    <row r="7" spans="3:5">
      <c r="C7" s="8" t="s">
        <v>18</v>
      </c>
      <c r="D7" s="8"/>
      <c r="E7" s="8">
        <f>SUM(E5:E6)</f>
        <v>2481300</v>
      </c>
    </row>
    <row r="11" spans="12:12">
      <c r="L11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26" sqref="I26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798</v>
      </c>
      <c r="B1" s="1"/>
      <c r="C1" s="1"/>
      <c r="D1" s="1" t="s">
        <v>756</v>
      </c>
      <c r="E1" s="1"/>
      <c r="F1" s="1"/>
    </row>
    <row r="2" spans="1:6">
      <c r="A2" s="2" t="s">
        <v>799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6668</v>
      </c>
      <c r="B5" s="7" t="s">
        <v>800</v>
      </c>
      <c r="C5" s="7">
        <v>50</v>
      </c>
      <c r="D5" s="7">
        <v>1.2</v>
      </c>
      <c r="E5" s="7">
        <f>C5*D5</f>
        <v>60</v>
      </c>
      <c r="F5" s="7" t="s">
        <v>570</v>
      </c>
    </row>
    <row r="6" spans="1:6">
      <c r="A6" s="7">
        <v>6619</v>
      </c>
      <c r="B6" s="7" t="s">
        <v>801</v>
      </c>
      <c r="C6" s="7">
        <v>50</v>
      </c>
      <c r="D6" s="7">
        <v>1.2</v>
      </c>
      <c r="E6" s="7">
        <f t="shared" ref="E6:E14" si="0">C6*D6</f>
        <v>60</v>
      </c>
      <c r="F6" s="7" t="s">
        <v>570</v>
      </c>
    </row>
    <row r="7" spans="1:6">
      <c r="A7" s="7">
        <v>6621</v>
      </c>
      <c r="B7" s="7" t="s">
        <v>802</v>
      </c>
      <c r="C7" s="7">
        <v>50</v>
      </c>
      <c r="D7" s="7">
        <v>1.2</v>
      </c>
      <c r="E7" s="7">
        <f t="shared" si="0"/>
        <v>60</v>
      </c>
      <c r="F7" s="7" t="s">
        <v>570</v>
      </c>
    </row>
    <row r="8" spans="1:6">
      <c r="A8" s="7">
        <v>6622</v>
      </c>
      <c r="B8" s="7" t="s">
        <v>803</v>
      </c>
      <c r="C8" s="7">
        <v>50</v>
      </c>
      <c r="D8" s="7">
        <v>1.2</v>
      </c>
      <c r="E8" s="7">
        <f t="shared" si="0"/>
        <v>60</v>
      </c>
      <c r="F8" s="7" t="s">
        <v>570</v>
      </c>
    </row>
    <row r="9" spans="1:6">
      <c r="A9" s="16">
        <v>6733</v>
      </c>
      <c r="B9" s="7" t="s">
        <v>344</v>
      </c>
      <c r="C9" s="7">
        <v>50</v>
      </c>
      <c r="D9" s="7">
        <v>1.2</v>
      </c>
      <c r="E9" s="7">
        <f t="shared" si="0"/>
        <v>60</v>
      </c>
      <c r="F9" s="7" t="s">
        <v>570</v>
      </c>
    </row>
    <row r="10" spans="1:6">
      <c r="A10" s="16">
        <v>6771</v>
      </c>
      <c r="B10" s="7" t="s">
        <v>804</v>
      </c>
      <c r="C10" s="7">
        <v>50</v>
      </c>
      <c r="D10" s="7">
        <v>1.2</v>
      </c>
      <c r="E10" s="7">
        <f t="shared" si="0"/>
        <v>60</v>
      </c>
      <c r="F10" s="7" t="s">
        <v>570</v>
      </c>
    </row>
    <row r="11" spans="1:6">
      <c r="A11" s="7">
        <v>6677</v>
      </c>
      <c r="B11" s="7" t="s">
        <v>343</v>
      </c>
      <c r="C11" s="7">
        <v>50</v>
      </c>
      <c r="D11" s="7">
        <v>1.2</v>
      </c>
      <c r="E11" s="7">
        <f t="shared" si="0"/>
        <v>60</v>
      </c>
      <c r="F11" s="7" t="s">
        <v>570</v>
      </c>
    </row>
    <row r="12" spans="1:6">
      <c r="A12" s="7">
        <v>6648</v>
      </c>
      <c r="B12" s="7" t="s">
        <v>12</v>
      </c>
      <c r="C12" s="7">
        <v>50</v>
      </c>
      <c r="D12" s="7">
        <v>1.2</v>
      </c>
      <c r="E12" s="7">
        <f t="shared" si="0"/>
        <v>60</v>
      </c>
      <c r="F12" s="7" t="s">
        <v>570</v>
      </c>
    </row>
    <row r="13" spans="1:6">
      <c r="A13" s="7">
        <v>6647</v>
      </c>
      <c r="B13" s="7" t="s">
        <v>190</v>
      </c>
      <c r="C13" s="7">
        <v>50</v>
      </c>
      <c r="D13" s="7">
        <v>1.2</v>
      </c>
      <c r="E13" s="7">
        <f t="shared" si="0"/>
        <v>60</v>
      </c>
      <c r="F13" s="7" t="s">
        <v>570</v>
      </c>
    </row>
    <row r="14" spans="1:6">
      <c r="A14" s="7">
        <v>6649</v>
      </c>
      <c r="B14" s="7" t="s">
        <v>805</v>
      </c>
      <c r="C14" s="7">
        <v>50</v>
      </c>
      <c r="D14" s="7">
        <v>1.2</v>
      </c>
      <c r="E14" s="7">
        <f t="shared" si="0"/>
        <v>60</v>
      </c>
      <c r="F14" s="7" t="s">
        <v>570</v>
      </c>
    </row>
    <row r="15" spans="3:5">
      <c r="C15" s="8" t="s">
        <v>18</v>
      </c>
      <c r="D15" s="8"/>
      <c r="E15" s="8">
        <f>SUM(E5:E14)</f>
        <v>600</v>
      </c>
    </row>
  </sheetData>
  <mergeCells count="6">
    <mergeCell ref="A1:C1"/>
    <mergeCell ref="D1:F1"/>
    <mergeCell ref="A2:C2"/>
    <mergeCell ref="D2:F2"/>
    <mergeCell ref="A3:F3"/>
    <mergeCell ref="C15:D15"/>
  </mergeCells>
  <pageMargins left="0.7" right="0.7" top="0.75" bottom="0.75" header="0.3" footer="0.3"/>
  <pageSetup paperSize="9" orientation="portrait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20" sqref="I20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806</v>
      </c>
      <c r="B1" s="1"/>
      <c r="C1" s="1"/>
      <c r="D1" s="1" t="s">
        <v>796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6668</v>
      </c>
      <c r="B5" s="7" t="s">
        <v>800</v>
      </c>
      <c r="C5" s="7">
        <v>350</v>
      </c>
      <c r="D5" s="7">
        <v>1.2</v>
      </c>
      <c r="E5" s="7">
        <f t="shared" ref="E5:E14" si="0">C5*D5</f>
        <v>420</v>
      </c>
      <c r="F5" s="7" t="s">
        <v>570</v>
      </c>
    </row>
    <row r="6" spans="1:6">
      <c r="A6" s="7">
        <v>6619</v>
      </c>
      <c r="B6" s="7" t="s">
        <v>801</v>
      </c>
      <c r="C6" s="7">
        <v>350</v>
      </c>
      <c r="D6" s="7">
        <v>1.2</v>
      </c>
      <c r="E6" s="7">
        <f t="shared" si="0"/>
        <v>420</v>
      </c>
      <c r="F6" s="7" t="s">
        <v>570</v>
      </c>
    </row>
    <row r="7" spans="1:6">
      <c r="A7" s="7">
        <v>6621</v>
      </c>
      <c r="B7" s="7" t="s">
        <v>802</v>
      </c>
      <c r="C7" s="7">
        <v>350</v>
      </c>
      <c r="D7" s="7">
        <v>1.2</v>
      </c>
      <c r="E7" s="7">
        <f t="shared" si="0"/>
        <v>420</v>
      </c>
      <c r="F7" s="7" t="s">
        <v>570</v>
      </c>
    </row>
    <row r="8" spans="1:6">
      <c r="A8" s="7">
        <v>6622</v>
      </c>
      <c r="B8" s="7" t="s">
        <v>803</v>
      </c>
      <c r="C8" s="7">
        <v>350</v>
      </c>
      <c r="D8" s="7">
        <v>1.2</v>
      </c>
      <c r="E8" s="7">
        <f t="shared" si="0"/>
        <v>420</v>
      </c>
      <c r="F8" s="7" t="s">
        <v>570</v>
      </c>
    </row>
    <row r="9" spans="1:6">
      <c r="A9" s="16">
        <v>6733</v>
      </c>
      <c r="B9" s="7" t="s">
        <v>344</v>
      </c>
      <c r="C9" s="7">
        <v>350</v>
      </c>
      <c r="D9" s="7">
        <v>1.2</v>
      </c>
      <c r="E9" s="7">
        <f t="shared" si="0"/>
        <v>420</v>
      </c>
      <c r="F9" s="7" t="s">
        <v>570</v>
      </c>
    </row>
    <row r="10" spans="1:6">
      <c r="A10" s="16">
        <v>6771</v>
      </c>
      <c r="B10" s="7" t="s">
        <v>804</v>
      </c>
      <c r="C10" s="7">
        <v>350</v>
      </c>
      <c r="D10" s="7">
        <v>1.2</v>
      </c>
      <c r="E10" s="7">
        <f t="shared" si="0"/>
        <v>420</v>
      </c>
      <c r="F10" s="7" t="s">
        <v>570</v>
      </c>
    </row>
    <row r="11" spans="1:6">
      <c r="A11" s="7">
        <v>6677</v>
      </c>
      <c r="B11" s="7" t="s">
        <v>343</v>
      </c>
      <c r="C11" s="7">
        <v>350</v>
      </c>
      <c r="D11" s="7">
        <v>1.2</v>
      </c>
      <c r="E11" s="7">
        <f t="shared" si="0"/>
        <v>420</v>
      </c>
      <c r="F11" s="7" t="s">
        <v>570</v>
      </c>
    </row>
    <row r="12" spans="1:6">
      <c r="A12" s="7">
        <v>6648</v>
      </c>
      <c r="B12" s="7" t="s">
        <v>12</v>
      </c>
      <c r="C12" s="7">
        <v>350</v>
      </c>
      <c r="D12" s="7">
        <v>1.2</v>
      </c>
      <c r="E12" s="7">
        <f t="shared" si="0"/>
        <v>420</v>
      </c>
      <c r="F12" s="7" t="s">
        <v>570</v>
      </c>
    </row>
    <row r="13" spans="1:6">
      <c r="A13" s="7">
        <v>6647</v>
      </c>
      <c r="B13" s="7" t="s">
        <v>190</v>
      </c>
      <c r="C13" s="7">
        <v>350</v>
      </c>
      <c r="D13" s="7">
        <v>1.2</v>
      </c>
      <c r="E13" s="7">
        <f t="shared" si="0"/>
        <v>420</v>
      </c>
      <c r="F13" s="7" t="s">
        <v>570</v>
      </c>
    </row>
    <row r="14" spans="1:6">
      <c r="A14" s="7">
        <v>6649</v>
      </c>
      <c r="B14" s="7" t="s">
        <v>805</v>
      </c>
      <c r="C14" s="7">
        <v>350</v>
      </c>
      <c r="D14" s="7">
        <v>1.2</v>
      </c>
      <c r="E14" s="7">
        <f t="shared" si="0"/>
        <v>420</v>
      </c>
      <c r="F14" s="7" t="s">
        <v>570</v>
      </c>
    </row>
    <row r="15" spans="3:5">
      <c r="C15" s="8" t="s">
        <v>18</v>
      </c>
      <c r="D15" s="8"/>
      <c r="E15" s="8">
        <f>SUM(E5:E14)</f>
        <v>4200</v>
      </c>
    </row>
  </sheetData>
  <mergeCells count="6">
    <mergeCell ref="A1:C1"/>
    <mergeCell ref="D1:F1"/>
    <mergeCell ref="A2:C2"/>
    <mergeCell ref="D2:F2"/>
    <mergeCell ref="A3:F3"/>
    <mergeCell ref="C15:D15"/>
  </mergeCells>
  <pageMargins left="0.7" right="0.7" top="0.75" bottom="0.75" header="0.3" footer="0.3"/>
  <pageSetup paperSize="9" orientation="portrait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B1" workbookViewId="0">
      <selection activeCell="P26" sqref="P26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807</v>
      </c>
      <c r="B1" s="1"/>
      <c r="C1" s="1"/>
      <c r="D1" s="1" t="s">
        <v>796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6575</v>
      </c>
      <c r="B5" s="7" t="s">
        <v>131</v>
      </c>
      <c r="C5" s="7">
        <v>560</v>
      </c>
      <c r="D5" s="7">
        <v>1.2</v>
      </c>
      <c r="E5" s="7">
        <f>C5*D5</f>
        <v>672</v>
      </c>
      <c r="F5" s="7" t="s">
        <v>655</v>
      </c>
    </row>
    <row r="6" spans="1:6">
      <c r="A6" s="7">
        <v>6576</v>
      </c>
      <c r="B6" s="7" t="s">
        <v>128</v>
      </c>
      <c r="C6" s="7">
        <v>600</v>
      </c>
      <c r="D6" s="7">
        <v>1.2</v>
      </c>
      <c r="E6" s="7">
        <f t="shared" ref="E6:E26" si="0">C6*D6</f>
        <v>720</v>
      </c>
      <c r="F6" s="7" t="s">
        <v>655</v>
      </c>
    </row>
    <row r="7" spans="1:6">
      <c r="A7" s="7">
        <v>6558</v>
      </c>
      <c r="B7" s="7" t="s">
        <v>114</v>
      </c>
      <c r="C7" s="7">
        <v>560</v>
      </c>
      <c r="D7" s="7">
        <v>1.2</v>
      </c>
      <c r="E7" s="7">
        <f t="shared" si="0"/>
        <v>672</v>
      </c>
      <c r="F7" s="7" t="s">
        <v>655</v>
      </c>
    </row>
    <row r="8" spans="1:6">
      <c r="A8" s="7">
        <v>6553</v>
      </c>
      <c r="B8" s="7" t="s">
        <v>112</v>
      </c>
      <c r="C8" s="7">
        <v>600</v>
      </c>
      <c r="D8" s="7">
        <v>1.2</v>
      </c>
      <c r="E8" s="7">
        <f t="shared" si="0"/>
        <v>720</v>
      </c>
      <c r="F8" s="7" t="s">
        <v>655</v>
      </c>
    </row>
    <row r="9" spans="1:6">
      <c r="A9" s="7">
        <v>6696</v>
      </c>
      <c r="B9" s="7" t="s">
        <v>161</v>
      </c>
      <c r="C9" s="7">
        <v>600</v>
      </c>
      <c r="D9" s="7">
        <v>1.2</v>
      </c>
      <c r="E9" s="7">
        <f t="shared" si="0"/>
        <v>720</v>
      </c>
      <c r="F9" s="7" t="s">
        <v>667</v>
      </c>
    </row>
    <row r="10" spans="1:6">
      <c r="A10" s="7">
        <v>6796</v>
      </c>
      <c r="B10" s="7" t="s">
        <v>244</v>
      </c>
      <c r="C10" s="7">
        <v>460</v>
      </c>
      <c r="D10" s="7">
        <v>1.2</v>
      </c>
      <c r="E10" s="7">
        <f t="shared" si="0"/>
        <v>552</v>
      </c>
      <c r="F10" s="7" t="s">
        <v>212</v>
      </c>
    </row>
    <row r="11" spans="1:6">
      <c r="A11" s="7">
        <v>6548</v>
      </c>
      <c r="B11" s="7" t="s">
        <v>43</v>
      </c>
      <c r="C11" s="7">
        <v>560</v>
      </c>
      <c r="D11" s="7">
        <v>1.2</v>
      </c>
      <c r="E11" s="7">
        <f t="shared" si="0"/>
        <v>672</v>
      </c>
      <c r="F11" s="7" t="s">
        <v>655</v>
      </c>
    </row>
    <row r="12" spans="1:6">
      <c r="A12" s="7">
        <v>6568</v>
      </c>
      <c r="B12" s="7" t="s">
        <v>70</v>
      </c>
      <c r="C12" s="7">
        <v>560</v>
      </c>
      <c r="D12" s="7">
        <v>1.2</v>
      </c>
      <c r="E12" s="7">
        <f t="shared" si="0"/>
        <v>672</v>
      </c>
      <c r="F12" s="7" t="s">
        <v>655</v>
      </c>
    </row>
    <row r="13" spans="1:6">
      <c r="A13" s="7">
        <v>6554</v>
      </c>
      <c r="B13" s="7" t="s">
        <v>119</v>
      </c>
      <c r="C13" s="7">
        <v>560</v>
      </c>
      <c r="D13" s="7">
        <v>1.2</v>
      </c>
      <c r="E13" s="7">
        <f t="shared" si="0"/>
        <v>672</v>
      </c>
      <c r="F13" s="7" t="s">
        <v>655</v>
      </c>
    </row>
    <row r="14" spans="1:6">
      <c r="A14" s="7">
        <v>6556</v>
      </c>
      <c r="B14" s="7" t="s">
        <v>118</v>
      </c>
      <c r="C14" s="7">
        <v>560</v>
      </c>
      <c r="D14" s="7">
        <v>1.2</v>
      </c>
      <c r="E14" s="7">
        <f t="shared" si="0"/>
        <v>672</v>
      </c>
      <c r="F14" s="7" t="s">
        <v>655</v>
      </c>
    </row>
    <row r="15" spans="1:6">
      <c r="A15" s="7">
        <v>6559</v>
      </c>
      <c r="B15" s="7" t="s">
        <v>117</v>
      </c>
      <c r="C15" s="7">
        <v>560</v>
      </c>
      <c r="D15" s="7">
        <v>1.2</v>
      </c>
      <c r="E15" s="7">
        <f t="shared" si="0"/>
        <v>672</v>
      </c>
      <c r="F15" s="7" t="s">
        <v>655</v>
      </c>
    </row>
    <row r="16" spans="1:6">
      <c r="A16" s="7">
        <v>6792</v>
      </c>
      <c r="B16" s="7" t="s">
        <v>348</v>
      </c>
      <c r="C16" s="7">
        <v>600</v>
      </c>
      <c r="D16" s="7">
        <v>1.2</v>
      </c>
      <c r="E16" s="7">
        <f t="shared" si="0"/>
        <v>720</v>
      </c>
      <c r="F16" s="7" t="s">
        <v>655</v>
      </c>
    </row>
    <row r="17" spans="1:6">
      <c r="A17" s="7">
        <v>6710</v>
      </c>
      <c r="B17" s="7" t="s">
        <v>224</v>
      </c>
      <c r="C17" s="7">
        <v>560</v>
      </c>
      <c r="D17" s="7">
        <v>1.2</v>
      </c>
      <c r="E17" s="7">
        <f t="shared" si="0"/>
        <v>672</v>
      </c>
      <c r="F17" s="7" t="s">
        <v>667</v>
      </c>
    </row>
    <row r="18" spans="1:6">
      <c r="A18" s="7">
        <v>6557</v>
      </c>
      <c r="B18" s="7" t="s">
        <v>115</v>
      </c>
      <c r="C18" s="7">
        <v>560</v>
      </c>
      <c r="D18" s="7">
        <v>1.2</v>
      </c>
      <c r="E18" s="7">
        <f t="shared" si="0"/>
        <v>672</v>
      </c>
      <c r="F18" s="7" t="s">
        <v>655</v>
      </c>
    </row>
    <row r="19" spans="1:6">
      <c r="A19" s="7">
        <v>6705</v>
      </c>
      <c r="B19" s="7" t="s">
        <v>86</v>
      </c>
      <c r="C19" s="7">
        <v>560</v>
      </c>
      <c r="D19" s="7">
        <v>1.2</v>
      </c>
      <c r="E19" s="7">
        <f t="shared" si="0"/>
        <v>672</v>
      </c>
      <c r="F19" s="7" t="s">
        <v>667</v>
      </c>
    </row>
    <row r="20" spans="1:6">
      <c r="A20" s="7">
        <v>6570</v>
      </c>
      <c r="B20" s="7" t="s">
        <v>126</v>
      </c>
      <c r="C20" s="7">
        <v>560</v>
      </c>
      <c r="D20" s="7">
        <v>1.2</v>
      </c>
      <c r="E20" s="7">
        <f t="shared" si="0"/>
        <v>672</v>
      </c>
      <c r="F20" s="7" t="s">
        <v>655</v>
      </c>
    </row>
    <row r="21" spans="1:6">
      <c r="A21" s="7">
        <v>6707</v>
      </c>
      <c r="B21" s="7" t="s">
        <v>88</v>
      </c>
      <c r="C21" s="7">
        <v>560</v>
      </c>
      <c r="D21" s="7">
        <v>1.2</v>
      </c>
      <c r="E21" s="7">
        <f t="shared" si="0"/>
        <v>672</v>
      </c>
      <c r="F21" s="7" t="s">
        <v>667</v>
      </c>
    </row>
    <row r="22" spans="1:6">
      <c r="A22" s="7">
        <v>6572</v>
      </c>
      <c r="B22" s="7" t="s">
        <v>130</v>
      </c>
      <c r="C22" s="7">
        <v>560</v>
      </c>
      <c r="D22" s="7">
        <v>1.2</v>
      </c>
      <c r="E22" s="7">
        <f t="shared" si="0"/>
        <v>672</v>
      </c>
      <c r="F22" s="7" t="s">
        <v>655</v>
      </c>
    </row>
    <row r="23" spans="1:6">
      <c r="A23" s="7">
        <v>6571</v>
      </c>
      <c r="B23" s="7" t="s">
        <v>127</v>
      </c>
      <c r="C23" s="7">
        <v>560</v>
      </c>
      <c r="D23" s="7">
        <v>1.2</v>
      </c>
      <c r="E23" s="7">
        <f t="shared" si="0"/>
        <v>672</v>
      </c>
      <c r="F23" s="7" t="s">
        <v>655</v>
      </c>
    </row>
    <row r="24" spans="1:6">
      <c r="A24" s="7">
        <v>6566</v>
      </c>
      <c r="B24" s="7" t="s">
        <v>72</v>
      </c>
      <c r="C24" s="7">
        <v>560</v>
      </c>
      <c r="D24" s="7">
        <v>1.2</v>
      </c>
      <c r="E24" s="7">
        <f t="shared" si="0"/>
        <v>672</v>
      </c>
      <c r="F24" s="7" t="s">
        <v>655</v>
      </c>
    </row>
    <row r="25" spans="1:6">
      <c r="A25" s="7">
        <v>6797</v>
      </c>
      <c r="B25" s="7" t="s">
        <v>331</v>
      </c>
      <c r="C25" s="7">
        <v>460</v>
      </c>
      <c r="D25" s="7">
        <v>1.2</v>
      </c>
      <c r="E25" s="7">
        <f t="shared" si="0"/>
        <v>552</v>
      </c>
      <c r="F25" s="7" t="s">
        <v>212</v>
      </c>
    </row>
    <row r="26" spans="1:6">
      <c r="A26" s="7">
        <v>6560</v>
      </c>
      <c r="B26" s="7" t="s">
        <v>110</v>
      </c>
      <c r="C26" s="7">
        <v>560</v>
      </c>
      <c r="D26" s="7">
        <v>1.2</v>
      </c>
      <c r="E26" s="7">
        <f t="shared" si="0"/>
        <v>672</v>
      </c>
      <c r="F26" s="7" t="s">
        <v>655</v>
      </c>
    </row>
    <row r="27" spans="3:5">
      <c r="C27" s="8" t="s">
        <v>18</v>
      </c>
      <c r="D27" s="8"/>
      <c r="E27" s="8">
        <f>SUM(E5:E26)</f>
        <v>14736</v>
      </c>
    </row>
  </sheetData>
  <mergeCells count="6">
    <mergeCell ref="A1:C1"/>
    <mergeCell ref="D1:F1"/>
    <mergeCell ref="A2:C2"/>
    <mergeCell ref="D2:F2"/>
    <mergeCell ref="A3:F3"/>
    <mergeCell ref="C27:D27"/>
  </mergeCells>
  <pageMargins left="0.7" right="0.7" top="0.75" bottom="0.75" header="0.3" footer="0.3"/>
  <pageSetup paperSize="9" orientation="portrait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H7" sqref="H7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808</v>
      </c>
      <c r="B1" s="1"/>
      <c r="C1" s="1"/>
      <c r="D1" s="1" t="s">
        <v>796</v>
      </c>
      <c r="E1" s="1"/>
      <c r="F1" s="1"/>
    </row>
    <row r="2" spans="1:6">
      <c r="A2" s="2" t="s">
        <v>799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9">
        <v>6817</v>
      </c>
      <c r="B5" s="17" t="s">
        <v>185</v>
      </c>
      <c r="C5" s="7">
        <v>50</v>
      </c>
      <c r="D5" s="7">
        <v>1.2</v>
      </c>
      <c r="E5" s="7">
        <f t="shared" ref="E5:E13" si="0">C5*D5</f>
        <v>60</v>
      </c>
      <c r="F5" s="7" t="s">
        <v>570</v>
      </c>
    </row>
    <row r="6" spans="1:6">
      <c r="A6" s="19">
        <v>6818</v>
      </c>
      <c r="B6" s="17" t="s">
        <v>187</v>
      </c>
      <c r="C6" s="7">
        <v>50</v>
      </c>
      <c r="D6" s="7">
        <v>1.2</v>
      </c>
      <c r="E6" s="7">
        <f t="shared" si="0"/>
        <v>60</v>
      </c>
      <c r="F6" s="7" t="s">
        <v>570</v>
      </c>
    </row>
    <row r="7" spans="1:6">
      <c r="A7" s="19">
        <v>6819</v>
      </c>
      <c r="B7" s="17" t="s">
        <v>16</v>
      </c>
      <c r="C7" s="7">
        <v>50</v>
      </c>
      <c r="D7" s="7">
        <v>1.2</v>
      </c>
      <c r="E7" s="7">
        <f t="shared" si="0"/>
        <v>60</v>
      </c>
      <c r="F7" s="7" t="s">
        <v>570</v>
      </c>
    </row>
    <row r="8" spans="1:6">
      <c r="A8" s="19">
        <v>6820</v>
      </c>
      <c r="B8" s="17" t="s">
        <v>186</v>
      </c>
      <c r="C8" s="7">
        <v>50</v>
      </c>
      <c r="D8" s="7">
        <v>1.2</v>
      </c>
      <c r="E8" s="7">
        <f t="shared" si="0"/>
        <v>60</v>
      </c>
      <c r="F8" s="7" t="s">
        <v>570</v>
      </c>
    </row>
    <row r="9" spans="1:6">
      <c r="A9" s="19">
        <v>6822</v>
      </c>
      <c r="B9" s="17" t="s">
        <v>809</v>
      </c>
      <c r="C9" s="7">
        <v>50</v>
      </c>
      <c r="D9" s="7">
        <v>1.2</v>
      </c>
      <c r="E9" s="7">
        <f t="shared" si="0"/>
        <v>60</v>
      </c>
      <c r="F9" s="7" t="s">
        <v>570</v>
      </c>
    </row>
    <row r="10" spans="1:6">
      <c r="A10" s="18">
        <v>6835</v>
      </c>
      <c r="B10" s="17" t="s">
        <v>275</v>
      </c>
      <c r="C10" s="7">
        <v>50</v>
      </c>
      <c r="D10" s="7">
        <v>1.2</v>
      </c>
      <c r="E10" s="7">
        <f t="shared" si="0"/>
        <v>60</v>
      </c>
      <c r="F10" s="7" t="s">
        <v>570</v>
      </c>
    </row>
    <row r="11" spans="1:6">
      <c r="A11" s="18">
        <v>6836</v>
      </c>
      <c r="B11" s="17" t="s">
        <v>315</v>
      </c>
      <c r="C11" s="7">
        <v>50</v>
      </c>
      <c r="D11" s="7">
        <v>1.2</v>
      </c>
      <c r="E11" s="7">
        <f t="shared" si="0"/>
        <v>60</v>
      </c>
      <c r="F11" s="7" t="s">
        <v>570</v>
      </c>
    </row>
    <row r="12" spans="1:6">
      <c r="A12" s="18">
        <v>6837</v>
      </c>
      <c r="B12" s="17" t="s">
        <v>322</v>
      </c>
      <c r="C12" s="7">
        <v>50</v>
      </c>
      <c r="D12" s="7">
        <v>1.2</v>
      </c>
      <c r="E12" s="7">
        <f t="shared" si="0"/>
        <v>60</v>
      </c>
      <c r="F12" s="7" t="s">
        <v>570</v>
      </c>
    </row>
    <row r="13" spans="1:6">
      <c r="A13" s="18">
        <v>6838</v>
      </c>
      <c r="B13" s="17" t="s">
        <v>324</v>
      </c>
      <c r="C13" s="7">
        <v>50</v>
      </c>
      <c r="D13" s="7">
        <v>1.2</v>
      </c>
      <c r="E13" s="7">
        <f t="shared" si="0"/>
        <v>60</v>
      </c>
      <c r="F13" s="7" t="s">
        <v>570</v>
      </c>
    </row>
    <row r="14" spans="3:5">
      <c r="C14" s="8" t="s">
        <v>18</v>
      </c>
      <c r="D14" s="8"/>
      <c r="E14" s="8">
        <f>SUM(E5:E13)</f>
        <v>540</v>
      </c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pageSetup paperSize="9" orientation="portrait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K33" sqref="K33"/>
    </sheetView>
  </sheetViews>
  <sheetFormatPr defaultColWidth="9" defaultRowHeight="14.2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810</v>
      </c>
      <c r="B1" s="1"/>
      <c r="C1" s="1"/>
      <c r="D1" s="1" t="s">
        <v>796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9">
        <v>6817</v>
      </c>
      <c r="B5" s="17" t="s">
        <v>185</v>
      </c>
      <c r="C5" s="7">
        <v>350</v>
      </c>
      <c r="D5" s="7">
        <v>1.2</v>
      </c>
      <c r="E5" s="7">
        <f t="shared" ref="E5:E13" si="0">C5*D5</f>
        <v>420</v>
      </c>
      <c r="F5" s="7" t="s">
        <v>570</v>
      </c>
    </row>
    <row r="6" spans="1:6">
      <c r="A6" s="19">
        <v>6818</v>
      </c>
      <c r="B6" s="17" t="s">
        <v>187</v>
      </c>
      <c r="C6" s="7">
        <v>350</v>
      </c>
      <c r="D6" s="7">
        <v>1.2</v>
      </c>
      <c r="E6" s="7">
        <f t="shared" si="0"/>
        <v>420</v>
      </c>
      <c r="F6" s="7" t="s">
        <v>570</v>
      </c>
    </row>
    <row r="7" spans="1:6">
      <c r="A7" s="19">
        <v>6819</v>
      </c>
      <c r="B7" s="17" t="s">
        <v>16</v>
      </c>
      <c r="C7" s="7">
        <v>350</v>
      </c>
      <c r="D7" s="7">
        <v>1.2</v>
      </c>
      <c r="E7" s="7">
        <f t="shared" si="0"/>
        <v>420</v>
      </c>
      <c r="F7" s="7" t="s">
        <v>570</v>
      </c>
    </row>
    <row r="8" spans="1:6">
      <c r="A8" s="19">
        <v>6820</v>
      </c>
      <c r="B8" s="17" t="s">
        <v>186</v>
      </c>
      <c r="C8" s="7">
        <v>350</v>
      </c>
      <c r="D8" s="7">
        <v>1.2</v>
      </c>
      <c r="E8" s="7">
        <f t="shared" si="0"/>
        <v>420</v>
      </c>
      <c r="F8" s="7" t="s">
        <v>570</v>
      </c>
    </row>
    <row r="9" spans="1:6">
      <c r="A9" s="19">
        <v>6822</v>
      </c>
      <c r="B9" s="17" t="s">
        <v>809</v>
      </c>
      <c r="C9" s="7">
        <v>350</v>
      </c>
      <c r="D9" s="7">
        <v>1.2</v>
      </c>
      <c r="E9" s="7">
        <f t="shared" si="0"/>
        <v>420</v>
      </c>
      <c r="F9" s="7" t="s">
        <v>570</v>
      </c>
    </row>
    <row r="10" spans="1:6">
      <c r="A10" s="18">
        <v>6835</v>
      </c>
      <c r="B10" s="17" t="s">
        <v>275</v>
      </c>
      <c r="C10" s="7">
        <v>350</v>
      </c>
      <c r="D10" s="7">
        <v>1.2</v>
      </c>
      <c r="E10" s="7">
        <f t="shared" si="0"/>
        <v>420</v>
      </c>
      <c r="F10" s="7" t="s">
        <v>570</v>
      </c>
    </row>
    <row r="11" spans="1:6">
      <c r="A11" s="18">
        <v>6836</v>
      </c>
      <c r="B11" s="17" t="s">
        <v>315</v>
      </c>
      <c r="C11" s="7">
        <v>350</v>
      </c>
      <c r="D11" s="7">
        <v>1.2</v>
      </c>
      <c r="E11" s="7">
        <f t="shared" si="0"/>
        <v>420</v>
      </c>
      <c r="F11" s="7" t="s">
        <v>570</v>
      </c>
    </row>
    <row r="12" spans="1:6">
      <c r="A12" s="18">
        <v>6837</v>
      </c>
      <c r="B12" s="17" t="s">
        <v>322</v>
      </c>
      <c r="C12" s="7">
        <v>350</v>
      </c>
      <c r="D12" s="7">
        <v>1.2</v>
      </c>
      <c r="E12" s="7">
        <f t="shared" si="0"/>
        <v>420</v>
      </c>
      <c r="F12" s="7" t="s">
        <v>570</v>
      </c>
    </row>
    <row r="13" spans="1:6">
      <c r="A13" s="18">
        <v>6838</v>
      </c>
      <c r="B13" s="17" t="s">
        <v>324</v>
      </c>
      <c r="C13" s="7">
        <v>350</v>
      </c>
      <c r="D13" s="7">
        <v>1.2</v>
      </c>
      <c r="E13" s="7">
        <f t="shared" si="0"/>
        <v>420</v>
      </c>
      <c r="F13" s="7" t="s">
        <v>570</v>
      </c>
    </row>
    <row r="14" spans="3:5">
      <c r="C14" s="8" t="s">
        <v>18</v>
      </c>
      <c r="D14" s="8"/>
      <c r="E14" s="8">
        <f>SUM(E5:E13)</f>
        <v>3780</v>
      </c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pageSetup paperSize="9" orientation="portrait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11" sqref="G11"/>
    </sheetView>
  </sheetViews>
  <sheetFormatPr defaultColWidth="9" defaultRowHeight="14.25" outlineLevelRow="6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811</v>
      </c>
      <c r="B1" s="1"/>
      <c r="C1" s="1"/>
      <c r="D1" s="1" t="s">
        <v>796</v>
      </c>
      <c r="E1" s="1"/>
      <c r="F1" s="1"/>
    </row>
    <row r="2" spans="1:6">
      <c r="A2" s="2" t="s">
        <v>69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6731</v>
      </c>
      <c r="B5" s="7" t="s">
        <v>262</v>
      </c>
      <c r="C5" s="7">
        <v>40</v>
      </c>
      <c r="D5" s="7">
        <v>1.2</v>
      </c>
      <c r="E5" s="7">
        <f>C5*D5</f>
        <v>48</v>
      </c>
      <c r="F5" s="7" t="s">
        <v>570</v>
      </c>
    </row>
    <row r="6" spans="1:6">
      <c r="A6" s="19">
        <v>6817</v>
      </c>
      <c r="B6" s="22" t="s">
        <v>185</v>
      </c>
      <c r="C6" s="27">
        <v>50</v>
      </c>
      <c r="D6" s="7">
        <v>1.2</v>
      </c>
      <c r="E6" s="7">
        <f>C6*D6</f>
        <v>60</v>
      </c>
      <c r="F6" s="7" t="s">
        <v>570</v>
      </c>
    </row>
    <row r="7" spans="3:5">
      <c r="C7" s="8" t="s">
        <v>18</v>
      </c>
      <c r="D7" s="8"/>
      <c r="E7" s="8">
        <f>SUM(E5:E6)</f>
        <v>108</v>
      </c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H20" sqref="H20"/>
    </sheetView>
  </sheetViews>
  <sheetFormatPr defaultColWidth="9" defaultRowHeight="14.25" outlineLevelRow="5" outlineLevelCol="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812</v>
      </c>
      <c r="B1" s="1"/>
      <c r="C1" s="1"/>
      <c r="D1" s="1" t="s">
        <v>796</v>
      </c>
      <c r="E1" s="1"/>
      <c r="F1" s="1"/>
    </row>
    <row r="2" spans="1:6">
      <c r="A2" s="2" t="s">
        <v>46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6816</v>
      </c>
      <c r="B5" s="7" t="s">
        <v>335</v>
      </c>
      <c r="C5" s="7">
        <v>450</v>
      </c>
      <c r="D5" s="7">
        <v>2757</v>
      </c>
      <c r="E5" s="7">
        <f>SUM(C5*D5)</f>
        <v>1240650</v>
      </c>
      <c r="F5" s="7" t="s">
        <v>653</v>
      </c>
    </row>
    <row r="6" spans="3:5">
      <c r="C6" s="8" t="s">
        <v>18</v>
      </c>
      <c r="D6" s="8"/>
      <c r="E6" s="8">
        <f>SUM(E5:E5)</f>
        <v>1240650</v>
      </c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E20" sqref="E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813</v>
      </c>
      <c r="B1" s="1"/>
      <c r="C1" s="1"/>
      <c r="D1" s="1" t="s">
        <v>796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6561</v>
      </c>
      <c r="B5" s="7" t="s">
        <v>97</v>
      </c>
      <c r="C5" s="7">
        <v>560</v>
      </c>
      <c r="D5" s="7">
        <v>1.2</v>
      </c>
      <c r="E5" s="7">
        <f>C5*D5</f>
        <v>672</v>
      </c>
      <c r="F5" s="7" t="s">
        <v>655</v>
      </c>
    </row>
    <row r="6" spans="1:6">
      <c r="A6" s="7">
        <v>6697</v>
      </c>
      <c r="B6" s="7" t="s">
        <v>77</v>
      </c>
      <c r="C6" s="7">
        <v>560</v>
      </c>
      <c r="D6" s="7">
        <v>1.2</v>
      </c>
      <c r="E6" s="7">
        <f>C6*D6</f>
        <v>672</v>
      </c>
      <c r="F6" s="7" t="s">
        <v>667</v>
      </c>
    </row>
    <row r="7" spans="1:6">
      <c r="A7" s="7">
        <v>6596</v>
      </c>
      <c r="B7" s="7" t="s">
        <v>725</v>
      </c>
      <c r="C7" s="7">
        <v>60</v>
      </c>
      <c r="D7" s="7">
        <v>1.2</v>
      </c>
      <c r="E7" s="7">
        <f>C7*D7</f>
        <v>72</v>
      </c>
      <c r="F7" s="7" t="s">
        <v>726</v>
      </c>
    </row>
    <row r="8" spans="1:6">
      <c r="A8" s="7">
        <v>6687</v>
      </c>
      <c r="B8" s="7" t="s">
        <v>135</v>
      </c>
      <c r="C8" s="7">
        <v>460</v>
      </c>
      <c r="D8" s="7">
        <v>1.2</v>
      </c>
      <c r="E8" s="7">
        <f>C8*D8</f>
        <v>552</v>
      </c>
      <c r="F8" s="7" t="s">
        <v>212</v>
      </c>
    </row>
    <row r="9" spans="1:10">
      <c r="A9" s="7">
        <v>6562</v>
      </c>
      <c r="B9" s="7" t="s">
        <v>99</v>
      </c>
      <c r="C9" s="7">
        <v>360</v>
      </c>
      <c r="D9" s="7">
        <v>1.2</v>
      </c>
      <c r="E9" s="7">
        <f>C9*D9</f>
        <v>432</v>
      </c>
      <c r="F9" s="7" t="s">
        <v>655</v>
      </c>
      <c r="I9" s="35"/>
      <c r="J9" s="31"/>
    </row>
    <row r="10" spans="3:10">
      <c r="C10" s="8" t="s">
        <v>18</v>
      </c>
      <c r="D10" s="8"/>
      <c r="E10" s="8">
        <f>SUM(E5:E9)</f>
        <v>2400</v>
      </c>
      <c r="I10" s="31"/>
      <c r="J10" s="31"/>
    </row>
    <row r="17" spans="12:12">
      <c r="L17" s="13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pageSetup paperSize="9" orientation="portrait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G42" sqref="G4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814</v>
      </c>
      <c r="B1" s="1"/>
      <c r="C1" s="1"/>
      <c r="D1" s="1" t="s">
        <v>796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6615</v>
      </c>
      <c r="B5" s="7" t="s">
        <v>555</v>
      </c>
      <c r="C5" s="7">
        <v>80</v>
      </c>
      <c r="D5" s="7">
        <v>2757</v>
      </c>
      <c r="E5" s="7">
        <f>C5*D5</f>
        <v>220560</v>
      </c>
      <c r="F5" s="7" t="s">
        <v>570</v>
      </c>
    </row>
    <row r="6" spans="3:10">
      <c r="C6" s="8" t="s">
        <v>18</v>
      </c>
      <c r="D6" s="8"/>
      <c r="E6" s="8">
        <f>SUM(E5:E5)</f>
        <v>220560</v>
      </c>
      <c r="I6" s="31"/>
      <c r="J6" s="31"/>
    </row>
    <row r="13" spans="12:12">
      <c r="L13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G35" sqref="G3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815</v>
      </c>
      <c r="B1" s="1"/>
      <c r="C1" s="1"/>
      <c r="D1" s="1" t="s">
        <v>796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6530</v>
      </c>
      <c r="B5" s="7" t="s">
        <v>597</v>
      </c>
      <c r="C5" s="7">
        <v>40</v>
      </c>
      <c r="D5" s="7">
        <v>2757</v>
      </c>
      <c r="E5" s="7">
        <f>C5*D5</f>
        <v>110280</v>
      </c>
      <c r="F5" s="7" t="s">
        <v>570</v>
      </c>
    </row>
    <row r="6" spans="3:10">
      <c r="C6" s="8" t="s">
        <v>18</v>
      </c>
      <c r="D6" s="8"/>
      <c r="E6" s="8">
        <f>SUM(E5:E5)</f>
        <v>110280</v>
      </c>
      <c r="I6" s="31"/>
      <c r="J6" s="31"/>
    </row>
    <row r="13" spans="12:12">
      <c r="L13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K23" sqref="K2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816</v>
      </c>
      <c r="B1" s="1"/>
      <c r="C1" s="1"/>
      <c r="D1" s="1" t="s">
        <v>796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 t="s">
        <v>49</v>
      </c>
      <c r="B5" s="7" t="s">
        <v>58</v>
      </c>
      <c r="C5" s="7">
        <v>60</v>
      </c>
      <c r="D5" s="7">
        <v>2814</v>
      </c>
      <c r="E5" s="7">
        <f>C5*D5</f>
        <v>168840</v>
      </c>
      <c r="F5" s="7" t="s">
        <v>49</v>
      </c>
    </row>
    <row r="6" spans="1:6">
      <c r="A6" s="27" t="s">
        <v>49</v>
      </c>
      <c r="B6" s="7" t="s">
        <v>454</v>
      </c>
      <c r="C6" s="7">
        <v>100</v>
      </c>
      <c r="D6" s="7">
        <v>2814</v>
      </c>
      <c r="E6" s="7">
        <f>C6*D6</f>
        <v>281400</v>
      </c>
      <c r="F6" s="7" t="s">
        <v>49</v>
      </c>
    </row>
    <row r="7" spans="1:6">
      <c r="A7" s="27" t="s">
        <v>49</v>
      </c>
      <c r="B7" s="7" t="s">
        <v>464</v>
      </c>
      <c r="C7" s="7">
        <v>40</v>
      </c>
      <c r="D7" s="7">
        <v>2670</v>
      </c>
      <c r="E7" s="7">
        <f>C7*D7</f>
        <v>106800</v>
      </c>
      <c r="F7" s="7" t="s">
        <v>49</v>
      </c>
    </row>
    <row r="8" spans="3:10">
      <c r="C8" s="8" t="s">
        <v>18</v>
      </c>
      <c r="D8" s="8"/>
      <c r="E8" s="8">
        <f>SUM(E5:E7)</f>
        <v>557040</v>
      </c>
      <c r="I8" s="31"/>
      <c r="J8" s="31"/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G19" sqref="G1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818</v>
      </c>
      <c r="B1" s="1"/>
      <c r="C1" s="1"/>
      <c r="D1" s="1" t="s">
        <v>796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6794</v>
      </c>
      <c r="B5" s="7" t="s">
        <v>351</v>
      </c>
      <c r="C5" s="7">
        <v>450</v>
      </c>
      <c r="D5" s="7">
        <v>2727</v>
      </c>
      <c r="E5" s="7">
        <f>C5*D5</f>
        <v>1227150</v>
      </c>
      <c r="F5" s="7" t="s">
        <v>655</v>
      </c>
    </row>
    <row r="6" spans="1:6">
      <c r="A6" s="7">
        <v>6574</v>
      </c>
      <c r="B6" s="7" t="s">
        <v>133</v>
      </c>
      <c r="C6" s="7">
        <v>450</v>
      </c>
      <c r="D6" s="7">
        <v>2727</v>
      </c>
      <c r="E6" s="7">
        <f>C6*D6</f>
        <v>1227150</v>
      </c>
      <c r="F6" s="7" t="s">
        <v>655</v>
      </c>
    </row>
    <row r="7" spans="3:10">
      <c r="C7" s="8" t="s">
        <v>18</v>
      </c>
      <c r="D7" s="8"/>
      <c r="E7" s="8">
        <f>SUM(E5:E6)</f>
        <v>2454300</v>
      </c>
      <c r="I7" s="31"/>
      <c r="J7" s="31"/>
    </row>
    <row r="14" spans="12:12">
      <c r="L14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H23" sqref="H2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819</v>
      </c>
      <c r="B1" s="1"/>
      <c r="C1" s="1"/>
      <c r="D1" s="1" t="s">
        <v>796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6815</v>
      </c>
      <c r="B5" s="7" t="s">
        <v>333</v>
      </c>
      <c r="C5" s="7">
        <v>450</v>
      </c>
      <c r="D5" s="7">
        <v>2727</v>
      </c>
      <c r="E5" s="7">
        <f>C5*D5</f>
        <v>1227150</v>
      </c>
      <c r="F5" s="7" t="s">
        <v>655</v>
      </c>
    </row>
    <row r="6" spans="1:6">
      <c r="A6" s="7">
        <v>6777</v>
      </c>
      <c r="B6" s="7" t="s">
        <v>145</v>
      </c>
      <c r="C6" s="7">
        <v>450</v>
      </c>
      <c r="D6" s="7">
        <v>2727</v>
      </c>
      <c r="E6" s="7">
        <f>C6*D6</f>
        <v>1227150</v>
      </c>
      <c r="F6" s="7" t="s">
        <v>655</v>
      </c>
    </row>
    <row r="7" spans="3:10">
      <c r="C7" s="8" t="s">
        <v>18</v>
      </c>
      <c r="D7" s="8"/>
      <c r="E7" s="8">
        <f>SUM(E5:E6)</f>
        <v>2454300</v>
      </c>
      <c r="I7" s="31"/>
      <c r="J7" s="31"/>
    </row>
    <row r="14" spans="12:12">
      <c r="L14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J20" sqref="J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820</v>
      </c>
      <c r="B1" s="1"/>
      <c r="C1" s="1"/>
      <c r="D1" s="1" t="s">
        <v>796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6810</v>
      </c>
      <c r="B5" s="7" t="s">
        <v>296</v>
      </c>
      <c r="C5" s="7">
        <v>450</v>
      </c>
      <c r="D5" s="7">
        <v>2757</v>
      </c>
      <c r="E5" s="7">
        <f>C5*D5</f>
        <v>1240650</v>
      </c>
      <c r="F5" s="16" t="s">
        <v>655</v>
      </c>
    </row>
    <row r="6" spans="1:6">
      <c r="A6" s="7">
        <v>6809</v>
      </c>
      <c r="B6" s="7" t="s">
        <v>336</v>
      </c>
      <c r="C6" s="7">
        <v>450</v>
      </c>
      <c r="D6" s="7">
        <v>2757</v>
      </c>
      <c r="E6" s="7">
        <f t="shared" ref="E6:E23" si="0">C6*D6</f>
        <v>1240650</v>
      </c>
      <c r="F6" s="7" t="s">
        <v>212</v>
      </c>
    </row>
    <row r="7" spans="1:6">
      <c r="A7" s="7">
        <v>6803</v>
      </c>
      <c r="B7" s="7" t="s">
        <v>334</v>
      </c>
      <c r="C7" s="7">
        <v>450</v>
      </c>
      <c r="D7" s="7">
        <v>2757</v>
      </c>
      <c r="E7" s="7">
        <f t="shared" si="0"/>
        <v>1240650</v>
      </c>
      <c r="F7" s="7" t="s">
        <v>212</v>
      </c>
    </row>
    <row r="8" spans="1:6">
      <c r="A8" s="7">
        <v>6795</v>
      </c>
      <c r="B8" s="7" t="s">
        <v>243</v>
      </c>
      <c r="C8" s="7">
        <v>450</v>
      </c>
      <c r="D8" s="7">
        <v>2757</v>
      </c>
      <c r="E8" s="7">
        <f t="shared" si="0"/>
        <v>1240650</v>
      </c>
      <c r="F8" s="7" t="s">
        <v>212</v>
      </c>
    </row>
    <row r="9" spans="1:6">
      <c r="A9" s="7">
        <v>6808</v>
      </c>
      <c r="B9" s="7" t="s">
        <v>354</v>
      </c>
      <c r="C9" s="7">
        <v>450</v>
      </c>
      <c r="D9" s="7">
        <v>2757</v>
      </c>
      <c r="E9" s="7">
        <f t="shared" si="0"/>
        <v>1240650</v>
      </c>
      <c r="F9" s="7" t="s">
        <v>212</v>
      </c>
    </row>
    <row r="10" spans="1:6">
      <c r="A10" s="7">
        <v>6800</v>
      </c>
      <c r="B10" s="7" t="s">
        <v>330</v>
      </c>
      <c r="C10" s="7">
        <v>450</v>
      </c>
      <c r="D10" s="7">
        <v>2757</v>
      </c>
      <c r="E10" s="7">
        <f t="shared" si="0"/>
        <v>1240650</v>
      </c>
      <c r="F10" s="7" t="s">
        <v>212</v>
      </c>
    </row>
    <row r="11" spans="1:6">
      <c r="A11" s="7">
        <v>6776</v>
      </c>
      <c r="B11" s="7" t="s">
        <v>150</v>
      </c>
      <c r="C11" s="7">
        <v>450</v>
      </c>
      <c r="D11" s="7">
        <v>2757</v>
      </c>
      <c r="E11" s="7">
        <f t="shared" si="0"/>
        <v>1240650</v>
      </c>
      <c r="F11" s="16" t="s">
        <v>655</v>
      </c>
    </row>
    <row r="12" spans="1:6">
      <c r="A12" s="7">
        <v>6777</v>
      </c>
      <c r="B12" s="7" t="s">
        <v>145</v>
      </c>
      <c r="C12" s="7">
        <v>450</v>
      </c>
      <c r="D12" s="7">
        <v>2757</v>
      </c>
      <c r="E12" s="7">
        <f t="shared" si="0"/>
        <v>1240650</v>
      </c>
      <c r="F12" s="16" t="s">
        <v>655</v>
      </c>
    </row>
    <row r="13" spans="1:6">
      <c r="A13" s="7">
        <v>6778</v>
      </c>
      <c r="B13" s="7" t="s">
        <v>237</v>
      </c>
      <c r="C13" s="7">
        <v>450</v>
      </c>
      <c r="D13" s="7">
        <v>2757</v>
      </c>
      <c r="E13" s="7">
        <f t="shared" si="0"/>
        <v>1240650</v>
      </c>
      <c r="F13" s="16" t="s">
        <v>655</v>
      </c>
    </row>
    <row r="14" spans="1:6">
      <c r="A14" s="7">
        <v>6781</v>
      </c>
      <c r="B14" s="7" t="s">
        <v>282</v>
      </c>
      <c r="C14" s="7">
        <v>450</v>
      </c>
      <c r="D14" s="7">
        <v>2757</v>
      </c>
      <c r="E14" s="7">
        <f t="shared" si="0"/>
        <v>1240650</v>
      </c>
      <c r="F14" s="16" t="s">
        <v>655</v>
      </c>
    </row>
    <row r="15" spans="1:6">
      <c r="A15" s="7">
        <v>6789</v>
      </c>
      <c r="B15" s="7" t="s">
        <v>290</v>
      </c>
      <c r="C15" s="7">
        <v>450</v>
      </c>
      <c r="D15" s="7">
        <v>2757</v>
      </c>
      <c r="E15" s="7">
        <f t="shared" si="0"/>
        <v>1240650</v>
      </c>
      <c r="F15" s="16" t="s">
        <v>655</v>
      </c>
    </row>
    <row r="16" spans="1:6">
      <c r="A16" s="7">
        <v>6786</v>
      </c>
      <c r="B16" s="7" t="s">
        <v>287</v>
      </c>
      <c r="C16" s="7">
        <v>450</v>
      </c>
      <c r="D16" s="7">
        <v>2757</v>
      </c>
      <c r="E16" s="7">
        <f t="shared" si="0"/>
        <v>1240650</v>
      </c>
      <c r="F16" s="16" t="s">
        <v>655</v>
      </c>
    </row>
    <row r="17" spans="1:6">
      <c r="A17" s="7">
        <v>6788</v>
      </c>
      <c r="B17" s="7" t="s">
        <v>289</v>
      </c>
      <c r="C17" s="7">
        <v>450</v>
      </c>
      <c r="D17" s="7">
        <v>2757</v>
      </c>
      <c r="E17" s="7">
        <f t="shared" si="0"/>
        <v>1240650</v>
      </c>
      <c r="F17" s="16" t="s">
        <v>655</v>
      </c>
    </row>
    <row r="18" spans="1:6">
      <c r="A18" s="7">
        <v>6790</v>
      </c>
      <c r="B18" s="7" t="s">
        <v>291</v>
      </c>
      <c r="C18" s="7">
        <v>450</v>
      </c>
      <c r="D18" s="7">
        <v>2757</v>
      </c>
      <c r="E18" s="7">
        <f t="shared" si="0"/>
        <v>1240650</v>
      </c>
      <c r="F18" s="16" t="s">
        <v>655</v>
      </c>
    </row>
    <row r="19" spans="1:6">
      <c r="A19" s="7">
        <v>6791</v>
      </c>
      <c r="B19" s="7" t="s">
        <v>292</v>
      </c>
      <c r="C19" s="7">
        <v>450</v>
      </c>
      <c r="D19" s="7">
        <v>2757</v>
      </c>
      <c r="E19" s="7">
        <f t="shared" si="0"/>
        <v>1240650</v>
      </c>
      <c r="F19" s="16" t="s">
        <v>655</v>
      </c>
    </row>
    <row r="20" spans="1:6">
      <c r="A20" s="7">
        <v>6782</v>
      </c>
      <c r="B20" s="7" t="s">
        <v>283</v>
      </c>
      <c r="C20" s="7">
        <v>450</v>
      </c>
      <c r="D20" s="7">
        <v>2757</v>
      </c>
      <c r="E20" s="7">
        <f t="shared" si="0"/>
        <v>1240650</v>
      </c>
      <c r="F20" s="16" t="s">
        <v>655</v>
      </c>
    </row>
    <row r="21" spans="1:6">
      <c r="A21" s="7">
        <v>6701</v>
      </c>
      <c r="B21" s="7" t="s">
        <v>82</v>
      </c>
      <c r="C21" s="7">
        <v>450</v>
      </c>
      <c r="D21" s="7">
        <v>2757</v>
      </c>
      <c r="E21" s="7">
        <f t="shared" si="0"/>
        <v>1240650</v>
      </c>
      <c r="F21" s="7" t="s">
        <v>667</v>
      </c>
    </row>
    <row r="22" spans="1:6">
      <c r="A22" s="7">
        <v>6699</v>
      </c>
      <c r="B22" s="7" t="s">
        <v>475</v>
      </c>
      <c r="C22" s="7">
        <v>450</v>
      </c>
      <c r="D22" s="7">
        <v>2757</v>
      </c>
      <c r="E22" s="7">
        <f t="shared" si="0"/>
        <v>1240650</v>
      </c>
      <c r="F22" s="7" t="s">
        <v>667</v>
      </c>
    </row>
    <row r="23" spans="1:6">
      <c r="A23" s="7">
        <v>6702</v>
      </c>
      <c r="B23" s="7" t="s">
        <v>83</v>
      </c>
      <c r="C23" s="7">
        <v>450</v>
      </c>
      <c r="D23" s="7">
        <v>2757</v>
      </c>
      <c r="E23" s="7">
        <f t="shared" si="0"/>
        <v>1240650</v>
      </c>
      <c r="F23" s="7" t="s">
        <v>667</v>
      </c>
    </row>
    <row r="24" spans="3:10">
      <c r="C24" s="8" t="s">
        <v>18</v>
      </c>
      <c r="D24" s="8"/>
      <c r="E24" s="8">
        <f>SUM(E5:E23)</f>
        <v>23572350</v>
      </c>
      <c r="I24" s="31"/>
      <c r="J24" s="31"/>
    </row>
    <row r="31" spans="12:12">
      <c r="L31" s="7"/>
    </row>
  </sheetData>
  <mergeCells count="6">
    <mergeCell ref="A1:C1"/>
    <mergeCell ref="D1:F1"/>
    <mergeCell ref="A2:C2"/>
    <mergeCell ref="D2:F2"/>
    <mergeCell ref="A3:F3"/>
    <mergeCell ref="C24:D24"/>
  </mergeCells>
  <pageMargins left="0.7" right="0.7" top="0.75" bottom="0.75" header="0.3" footer="0.3"/>
  <pageSetup paperSize="9" orientation="portrait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K19" sqref="K1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821</v>
      </c>
      <c r="B1" s="1"/>
      <c r="C1" s="1"/>
      <c r="D1" s="1" t="s">
        <v>796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6592</v>
      </c>
      <c r="B5" s="7" t="s">
        <v>746</v>
      </c>
      <c r="C5" s="7">
        <v>60</v>
      </c>
      <c r="D5" s="7">
        <v>1.2</v>
      </c>
      <c r="E5" s="7">
        <f>C5*D5</f>
        <v>72</v>
      </c>
      <c r="F5" s="16" t="s">
        <v>726</v>
      </c>
    </row>
    <row r="6" spans="1:6">
      <c r="A6" s="7">
        <v>6799</v>
      </c>
      <c r="B6" s="7" t="s">
        <v>329</v>
      </c>
      <c r="C6" s="7">
        <v>460</v>
      </c>
      <c r="D6" s="7">
        <v>1.2</v>
      </c>
      <c r="E6" s="7">
        <f>C6*D6</f>
        <v>552</v>
      </c>
      <c r="F6" s="7" t="s">
        <v>212</v>
      </c>
    </row>
    <row r="7" spans="1:6">
      <c r="A7" s="7">
        <v>6692</v>
      </c>
      <c r="B7" s="7" t="s">
        <v>228</v>
      </c>
      <c r="C7" s="7">
        <v>460</v>
      </c>
      <c r="D7" s="7">
        <v>1.2</v>
      </c>
      <c r="E7" s="7">
        <f>C7*D7</f>
        <v>552</v>
      </c>
      <c r="F7" s="7" t="s">
        <v>212</v>
      </c>
    </row>
    <row r="8" spans="3:10">
      <c r="C8" s="8" t="s">
        <v>18</v>
      </c>
      <c r="D8" s="8"/>
      <c r="E8" s="8">
        <f>SUM(E5:E7)</f>
        <v>1176</v>
      </c>
      <c r="I8" s="31"/>
      <c r="J8" s="31"/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A1" sqref="A1:F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822</v>
      </c>
      <c r="B1" s="1"/>
      <c r="C1" s="1"/>
      <c r="D1" s="1" t="s">
        <v>796</v>
      </c>
      <c r="E1" s="1"/>
      <c r="F1" s="1"/>
    </row>
    <row r="2" spans="1:6">
      <c r="A2" s="2" t="s">
        <v>799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6446</v>
      </c>
      <c r="B5" s="7" t="s">
        <v>823</v>
      </c>
      <c r="C5" s="7">
        <v>50</v>
      </c>
      <c r="D5" s="7">
        <v>1.2</v>
      </c>
      <c r="E5" s="7">
        <f>C5*D5</f>
        <v>60</v>
      </c>
      <c r="F5" s="7" t="s">
        <v>611</v>
      </c>
    </row>
    <row r="6" spans="1:6">
      <c r="A6" s="16">
        <v>6751</v>
      </c>
      <c r="B6" s="7" t="s">
        <v>824</v>
      </c>
      <c r="C6" s="7">
        <v>50</v>
      </c>
      <c r="D6" s="7">
        <v>1.2</v>
      </c>
      <c r="E6" s="7">
        <f t="shared" ref="E6:E15" si="0">C6*D6</f>
        <v>60</v>
      </c>
      <c r="F6" s="7" t="s">
        <v>611</v>
      </c>
    </row>
    <row r="7" spans="1:6">
      <c r="A7" s="16">
        <v>6754</v>
      </c>
      <c r="B7" s="7" t="s">
        <v>825</v>
      </c>
      <c r="C7" s="7">
        <v>50</v>
      </c>
      <c r="D7" s="7">
        <v>1.2</v>
      </c>
      <c r="E7" s="7">
        <f t="shared" si="0"/>
        <v>60</v>
      </c>
      <c r="F7" s="7" t="s">
        <v>611</v>
      </c>
    </row>
    <row r="8" spans="1:6">
      <c r="A8" s="16">
        <v>6756</v>
      </c>
      <c r="B8" s="7" t="s">
        <v>826</v>
      </c>
      <c r="C8" s="7">
        <v>50</v>
      </c>
      <c r="D8" s="7">
        <v>1.2</v>
      </c>
      <c r="E8" s="7">
        <f t="shared" si="0"/>
        <v>60</v>
      </c>
      <c r="F8" s="7" t="s">
        <v>611</v>
      </c>
    </row>
    <row r="9" spans="1:6">
      <c r="A9" s="16">
        <v>6758</v>
      </c>
      <c r="B9" s="7" t="s">
        <v>827</v>
      </c>
      <c r="C9" s="7">
        <v>50</v>
      </c>
      <c r="D9" s="7">
        <v>1.2</v>
      </c>
      <c r="E9" s="7">
        <f t="shared" si="0"/>
        <v>60</v>
      </c>
      <c r="F9" s="7" t="s">
        <v>611</v>
      </c>
    </row>
    <row r="10" spans="1:6">
      <c r="A10" s="16">
        <v>6762</v>
      </c>
      <c r="B10" s="7" t="s">
        <v>828</v>
      </c>
      <c r="C10" s="7">
        <v>50</v>
      </c>
      <c r="D10" s="7">
        <v>1.2</v>
      </c>
      <c r="E10" s="7">
        <f t="shared" si="0"/>
        <v>60</v>
      </c>
      <c r="F10" s="7" t="s">
        <v>611</v>
      </c>
    </row>
    <row r="11" spans="1:6">
      <c r="A11" s="16">
        <v>6755</v>
      </c>
      <c r="B11" s="7" t="s">
        <v>829</v>
      </c>
      <c r="C11" s="7">
        <v>50</v>
      </c>
      <c r="D11" s="7">
        <v>1.2</v>
      </c>
      <c r="E11" s="7">
        <f t="shared" si="0"/>
        <v>60</v>
      </c>
      <c r="F11" s="7" t="s">
        <v>611</v>
      </c>
    </row>
    <row r="12" spans="1:6">
      <c r="A12" s="16">
        <v>6763</v>
      </c>
      <c r="B12" s="7" t="s">
        <v>830</v>
      </c>
      <c r="C12" s="7">
        <v>50</v>
      </c>
      <c r="D12" s="7">
        <v>1.2</v>
      </c>
      <c r="E12" s="7">
        <f t="shared" si="0"/>
        <v>60</v>
      </c>
      <c r="F12" s="7" t="s">
        <v>611</v>
      </c>
    </row>
    <row r="13" spans="1:6">
      <c r="A13" s="16">
        <v>6766</v>
      </c>
      <c r="B13" s="7" t="s">
        <v>14</v>
      </c>
      <c r="C13" s="7">
        <v>50</v>
      </c>
      <c r="D13" s="7">
        <v>1.2</v>
      </c>
      <c r="E13" s="7">
        <f t="shared" si="0"/>
        <v>60</v>
      </c>
      <c r="F13" s="7" t="s">
        <v>611</v>
      </c>
    </row>
    <row r="14" spans="1:6">
      <c r="A14" s="7">
        <v>6731</v>
      </c>
      <c r="B14" s="34" t="s">
        <v>262</v>
      </c>
      <c r="C14" s="7">
        <v>50</v>
      </c>
      <c r="D14" s="7">
        <v>1.2</v>
      </c>
      <c r="E14" s="7">
        <f t="shared" si="0"/>
        <v>60</v>
      </c>
      <c r="F14" s="7" t="s">
        <v>570</v>
      </c>
    </row>
    <row r="15" spans="1:6">
      <c r="A15" s="7">
        <v>6652</v>
      </c>
      <c r="B15" s="7" t="s">
        <v>198</v>
      </c>
      <c r="C15" s="7">
        <v>50</v>
      </c>
      <c r="D15" s="7">
        <v>1.2</v>
      </c>
      <c r="E15" s="7">
        <f t="shared" si="0"/>
        <v>60</v>
      </c>
      <c r="F15" s="16" t="s">
        <v>570</v>
      </c>
    </row>
    <row r="16" spans="3:10">
      <c r="C16" s="8" t="s">
        <v>18</v>
      </c>
      <c r="D16" s="8"/>
      <c r="E16" s="8">
        <f>SUM(E5:E15)</f>
        <v>660</v>
      </c>
      <c r="I16" s="31"/>
      <c r="J16" s="31"/>
    </row>
    <row r="23" spans="12:12">
      <c r="L23" s="7"/>
    </row>
  </sheetData>
  <mergeCells count="6">
    <mergeCell ref="A1:C1"/>
    <mergeCell ref="D1:F1"/>
    <mergeCell ref="A2:C2"/>
    <mergeCell ref="D2:F2"/>
    <mergeCell ref="A3:F3"/>
    <mergeCell ref="C16:D16"/>
  </mergeCells>
  <pageMargins left="0.7" right="0.7" top="0.75" bottom="0.75" header="0.3" footer="0.3"/>
  <pageSetup paperSize="9" orientation="portrait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A1" sqref="A1:F1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831</v>
      </c>
      <c r="B1" s="1"/>
      <c r="C1" s="1"/>
      <c r="D1" s="1" t="s">
        <v>796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6446</v>
      </c>
      <c r="B5" s="7" t="s">
        <v>823</v>
      </c>
      <c r="C5" s="7">
        <v>350</v>
      </c>
      <c r="D5" s="7">
        <v>1.2</v>
      </c>
      <c r="E5" s="7">
        <f t="shared" ref="E5:E16" si="0">C5*D5</f>
        <v>420</v>
      </c>
      <c r="F5" s="7" t="s">
        <v>611</v>
      </c>
    </row>
    <row r="6" spans="1:6">
      <c r="A6" s="16">
        <v>6751</v>
      </c>
      <c r="B6" s="7" t="s">
        <v>824</v>
      </c>
      <c r="C6" s="7">
        <v>350</v>
      </c>
      <c r="D6" s="7">
        <v>1.2</v>
      </c>
      <c r="E6" s="7">
        <f t="shared" si="0"/>
        <v>420</v>
      </c>
      <c r="F6" s="7" t="s">
        <v>611</v>
      </c>
    </row>
    <row r="7" spans="1:6">
      <c r="A7" s="16">
        <v>6754</v>
      </c>
      <c r="B7" s="7" t="s">
        <v>825</v>
      </c>
      <c r="C7" s="7">
        <v>350</v>
      </c>
      <c r="D7" s="7">
        <v>1.2</v>
      </c>
      <c r="E7" s="7">
        <f t="shared" si="0"/>
        <v>420</v>
      </c>
      <c r="F7" s="7" t="s">
        <v>611</v>
      </c>
    </row>
    <row r="8" spans="1:6">
      <c r="A8" s="16">
        <v>6756</v>
      </c>
      <c r="B8" s="7" t="s">
        <v>826</v>
      </c>
      <c r="C8" s="7">
        <v>350</v>
      </c>
      <c r="D8" s="7">
        <v>1.2</v>
      </c>
      <c r="E8" s="7">
        <f t="shared" si="0"/>
        <v>420</v>
      </c>
      <c r="F8" s="7" t="s">
        <v>611</v>
      </c>
    </row>
    <row r="9" spans="1:6">
      <c r="A9" s="16">
        <v>6758</v>
      </c>
      <c r="B9" s="7" t="s">
        <v>827</v>
      </c>
      <c r="C9" s="7">
        <v>350</v>
      </c>
      <c r="D9" s="7">
        <v>1.2</v>
      </c>
      <c r="E9" s="7">
        <f t="shared" si="0"/>
        <v>420</v>
      </c>
      <c r="F9" s="7" t="s">
        <v>611</v>
      </c>
    </row>
    <row r="10" spans="1:6">
      <c r="A10" s="16">
        <v>6762</v>
      </c>
      <c r="B10" s="7" t="s">
        <v>828</v>
      </c>
      <c r="C10" s="7">
        <v>350</v>
      </c>
      <c r="D10" s="7">
        <v>1.2</v>
      </c>
      <c r="E10" s="7">
        <f t="shared" si="0"/>
        <v>420</v>
      </c>
      <c r="F10" s="7" t="s">
        <v>611</v>
      </c>
    </row>
    <row r="11" spans="1:6">
      <c r="A11" s="16">
        <v>6755</v>
      </c>
      <c r="B11" s="7" t="s">
        <v>829</v>
      </c>
      <c r="C11" s="7">
        <v>350</v>
      </c>
      <c r="D11" s="7">
        <v>1.2</v>
      </c>
      <c r="E11" s="7">
        <f t="shared" si="0"/>
        <v>420</v>
      </c>
      <c r="F11" s="7" t="s">
        <v>611</v>
      </c>
    </row>
    <row r="12" spans="1:6">
      <c r="A12" s="16">
        <v>6763</v>
      </c>
      <c r="B12" s="7" t="s">
        <v>830</v>
      </c>
      <c r="C12" s="7">
        <v>350</v>
      </c>
      <c r="D12" s="7">
        <v>1.2</v>
      </c>
      <c r="E12" s="7">
        <f t="shared" si="0"/>
        <v>420</v>
      </c>
      <c r="F12" s="7" t="s">
        <v>611</v>
      </c>
    </row>
    <row r="13" spans="1:6">
      <c r="A13" s="16">
        <v>6766</v>
      </c>
      <c r="B13" s="7" t="s">
        <v>14</v>
      </c>
      <c r="C13" s="7">
        <v>350</v>
      </c>
      <c r="D13" s="7">
        <v>1.2</v>
      </c>
      <c r="E13" s="7">
        <f t="shared" si="0"/>
        <v>420</v>
      </c>
      <c r="F13" s="7" t="s">
        <v>611</v>
      </c>
    </row>
    <row r="14" spans="1:6">
      <c r="A14" s="7">
        <v>6731</v>
      </c>
      <c r="B14" s="34" t="s">
        <v>262</v>
      </c>
      <c r="C14" s="7">
        <v>350</v>
      </c>
      <c r="D14" s="7">
        <v>1.2</v>
      </c>
      <c r="E14" s="7">
        <f t="shared" si="0"/>
        <v>420</v>
      </c>
      <c r="F14" s="7" t="s">
        <v>570</v>
      </c>
    </row>
    <row r="15" spans="1:6">
      <c r="A15" s="27">
        <v>6349</v>
      </c>
      <c r="B15" s="34" t="s">
        <v>776</v>
      </c>
      <c r="C15" s="7">
        <v>600</v>
      </c>
      <c r="D15" s="7">
        <v>1.2</v>
      </c>
      <c r="E15" s="7">
        <f t="shared" si="0"/>
        <v>720</v>
      </c>
      <c r="F15" s="7" t="s">
        <v>716</v>
      </c>
    </row>
    <row r="16" spans="1:6">
      <c r="A16" s="7">
        <v>6652</v>
      </c>
      <c r="B16" s="7" t="s">
        <v>198</v>
      </c>
      <c r="C16" s="7">
        <v>362.12</v>
      </c>
      <c r="D16" s="7">
        <v>1.2</v>
      </c>
      <c r="E16" s="7">
        <f t="shared" si="0"/>
        <v>434.544</v>
      </c>
      <c r="F16" s="16" t="s">
        <v>570</v>
      </c>
    </row>
    <row r="17" spans="3:10">
      <c r="C17" s="8" t="s">
        <v>18</v>
      </c>
      <c r="D17" s="8"/>
      <c r="E17" s="8">
        <f>SUM(E5:E16)</f>
        <v>5354.544</v>
      </c>
      <c r="I17" s="31"/>
      <c r="J17" s="31"/>
    </row>
    <row r="24" spans="12:12">
      <c r="L24" s="7"/>
    </row>
  </sheetData>
  <mergeCells count="6">
    <mergeCell ref="A1:C1"/>
    <mergeCell ref="D1:F1"/>
    <mergeCell ref="A2:C2"/>
    <mergeCell ref="D2:F2"/>
    <mergeCell ref="A3:F3"/>
    <mergeCell ref="C17:D17"/>
  </mergeCells>
  <pageMargins left="0.7" right="0.7" top="0.75" bottom="0.75" header="0.3" footer="0.3"/>
  <pageSetup paperSize="9" orientation="portrait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G16" sqref="G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832</v>
      </c>
      <c r="B1" s="1"/>
      <c r="C1" s="1"/>
      <c r="D1" s="1" t="s">
        <v>796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 t="s">
        <v>833</v>
      </c>
      <c r="B5" s="7" t="s">
        <v>144</v>
      </c>
      <c r="C5" s="21">
        <v>30</v>
      </c>
      <c r="D5" s="7">
        <v>2875</v>
      </c>
      <c r="E5" s="7">
        <f>SUM(C5*D5)</f>
        <v>86250</v>
      </c>
      <c r="F5" s="7" t="s">
        <v>49</v>
      </c>
    </row>
    <row r="6" spans="3:10">
      <c r="C6" s="8" t="s">
        <v>18</v>
      </c>
      <c r="D6" s="8"/>
      <c r="E6" s="8">
        <f>SUM(E5:E5)</f>
        <v>86250</v>
      </c>
      <c r="I6" s="31"/>
      <c r="J6" s="31"/>
    </row>
    <row r="13" spans="12:12">
      <c r="L13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H25" sqref="H2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834</v>
      </c>
      <c r="B1" s="1"/>
      <c r="C1" s="1"/>
      <c r="D1" s="1" t="s">
        <v>835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6508</v>
      </c>
      <c r="B5" s="7" t="s">
        <v>602</v>
      </c>
      <c r="C5" s="7">
        <v>40</v>
      </c>
      <c r="D5" s="7">
        <v>2757</v>
      </c>
      <c r="E5" s="7">
        <f>SUM(C5*D5)</f>
        <v>110280</v>
      </c>
      <c r="F5" s="7" t="s">
        <v>570</v>
      </c>
    </row>
    <row r="6" spans="3:10">
      <c r="C6" s="8" t="s">
        <v>18</v>
      </c>
      <c r="D6" s="8"/>
      <c r="E6" s="8">
        <f>SUM(E5:E5)</f>
        <v>110280</v>
      </c>
      <c r="I6" s="31"/>
      <c r="J6" s="31"/>
    </row>
    <row r="13" spans="12:12">
      <c r="L13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H27" sqref="H2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836</v>
      </c>
      <c r="B1" s="1"/>
      <c r="C1" s="1"/>
      <c r="D1" s="1" t="s">
        <v>835</v>
      </c>
      <c r="E1" s="1"/>
      <c r="F1" s="1"/>
    </row>
    <row r="2" spans="1:6">
      <c r="A2" s="2" t="s">
        <v>793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49</v>
      </c>
      <c r="B5" s="7" t="s">
        <v>837</v>
      </c>
      <c r="C5" s="7">
        <v>20</v>
      </c>
      <c r="D5" s="7">
        <v>1.2</v>
      </c>
      <c r="E5" s="7">
        <f>SUM(C5*D5)</f>
        <v>24</v>
      </c>
      <c r="F5" s="7" t="s">
        <v>49</v>
      </c>
    </row>
    <row r="6" spans="3:10">
      <c r="C6" s="8" t="s">
        <v>18</v>
      </c>
      <c r="D6" s="8"/>
      <c r="E6" s="8">
        <f>SUM(E5:E5)</f>
        <v>24</v>
      </c>
      <c r="I6" s="31"/>
      <c r="J6" s="31"/>
    </row>
    <row r="13" spans="12:12">
      <c r="L13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H22" sqref="H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838</v>
      </c>
      <c r="B1" s="1"/>
      <c r="C1" s="1"/>
      <c r="D1" s="1" t="s">
        <v>835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6620</v>
      </c>
      <c r="B5" s="7" t="s">
        <v>634</v>
      </c>
      <c r="C5" s="7">
        <v>100</v>
      </c>
      <c r="D5" s="7">
        <v>2875</v>
      </c>
      <c r="E5" s="7">
        <f>SUM(C5*D5)</f>
        <v>287500</v>
      </c>
      <c r="F5" s="7" t="s">
        <v>570</v>
      </c>
    </row>
    <row r="6" spans="1:6">
      <c r="A6" s="27">
        <v>6442</v>
      </c>
      <c r="B6" s="7" t="s">
        <v>624</v>
      </c>
      <c r="C6" s="7">
        <v>100</v>
      </c>
      <c r="D6" s="7">
        <v>2875</v>
      </c>
      <c r="E6" s="7">
        <f>SUM(C6*D6)</f>
        <v>287500</v>
      </c>
      <c r="F6" s="7" t="s">
        <v>611</v>
      </c>
    </row>
    <row r="7" spans="1:6">
      <c r="A7" s="16">
        <v>6749</v>
      </c>
      <c r="B7" s="7" t="s">
        <v>632</v>
      </c>
      <c r="C7" s="7">
        <v>100</v>
      </c>
      <c r="D7" s="7">
        <v>2875</v>
      </c>
      <c r="E7" s="7">
        <f>SUM(C7*D7)</f>
        <v>287500</v>
      </c>
      <c r="F7" s="7" t="s">
        <v>611</v>
      </c>
    </row>
    <row r="8" spans="1:6">
      <c r="A8" s="7">
        <v>6626</v>
      </c>
      <c r="B8" s="7" t="s">
        <v>544</v>
      </c>
      <c r="C8" s="7">
        <v>100</v>
      </c>
      <c r="D8" s="7">
        <v>2875</v>
      </c>
      <c r="E8" s="7">
        <f>SUM(C8*D8)</f>
        <v>287500</v>
      </c>
      <c r="F8" s="7" t="s">
        <v>570</v>
      </c>
    </row>
    <row r="9" spans="3:10">
      <c r="C9" s="8" t="s">
        <v>18</v>
      </c>
      <c r="D9" s="8"/>
      <c r="E9" s="8">
        <f>SUM(E5:E8)</f>
        <v>1150000</v>
      </c>
      <c r="I9" s="31"/>
      <c r="J9" s="31"/>
    </row>
    <row r="16" spans="12:12">
      <c r="L16" s="7"/>
    </row>
  </sheetData>
  <mergeCells count="6">
    <mergeCell ref="A1:C1"/>
    <mergeCell ref="D1:F1"/>
    <mergeCell ref="A2:C2"/>
    <mergeCell ref="D2:F2"/>
    <mergeCell ref="A3:F3"/>
    <mergeCell ref="C9:D9"/>
  </mergeCells>
  <pageMargins left="0.7" right="0.7" top="0.75" bottom="0.75" header="0.3" footer="0.3"/>
  <pageSetup paperSize="9" orientation="portrait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G22" sqref="G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839</v>
      </c>
      <c r="B1" s="1"/>
      <c r="C1" s="1"/>
      <c r="D1" s="1" t="s">
        <v>835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6620</v>
      </c>
      <c r="B5" s="7" t="s">
        <v>634</v>
      </c>
      <c r="C5" s="7">
        <v>400</v>
      </c>
      <c r="D5" s="7">
        <v>2757</v>
      </c>
      <c r="E5" s="7">
        <f t="shared" ref="E5:E8" si="0">SUM(C5*D5)</f>
        <v>1102800</v>
      </c>
      <c r="F5" s="7" t="s">
        <v>570</v>
      </c>
    </row>
    <row r="6" spans="1:6">
      <c r="A6" s="27">
        <v>6442</v>
      </c>
      <c r="B6" s="7" t="s">
        <v>624</v>
      </c>
      <c r="C6" s="7">
        <v>400</v>
      </c>
      <c r="D6" s="7">
        <v>2757</v>
      </c>
      <c r="E6" s="7">
        <f t="shared" si="0"/>
        <v>1102800</v>
      </c>
      <c r="F6" s="7" t="s">
        <v>611</v>
      </c>
    </row>
    <row r="7" spans="1:6">
      <c r="A7" s="16">
        <v>6749</v>
      </c>
      <c r="B7" s="7" t="s">
        <v>632</v>
      </c>
      <c r="C7" s="7">
        <v>400</v>
      </c>
      <c r="D7" s="7">
        <v>2757</v>
      </c>
      <c r="E7" s="7">
        <f t="shared" si="0"/>
        <v>1102800</v>
      </c>
      <c r="F7" s="7" t="s">
        <v>611</v>
      </c>
    </row>
    <row r="8" spans="1:6">
      <c r="A8" s="7">
        <v>6626</v>
      </c>
      <c r="B8" s="7" t="s">
        <v>544</v>
      </c>
      <c r="C8" s="7">
        <v>400</v>
      </c>
      <c r="D8" s="7">
        <v>2757</v>
      </c>
      <c r="E8" s="7">
        <f t="shared" si="0"/>
        <v>1102800</v>
      </c>
      <c r="F8" s="7" t="s">
        <v>570</v>
      </c>
    </row>
    <row r="9" spans="3:10">
      <c r="C9" s="8" t="s">
        <v>18</v>
      </c>
      <c r="D9" s="8"/>
      <c r="E9" s="8">
        <f>SUM(E5:E8)</f>
        <v>4411200</v>
      </c>
      <c r="I9" s="31"/>
      <c r="J9" s="31"/>
    </row>
    <row r="16" spans="12:12">
      <c r="L16" s="7"/>
    </row>
  </sheetData>
  <mergeCells count="6">
    <mergeCell ref="A1:C1"/>
    <mergeCell ref="D1:F1"/>
    <mergeCell ref="A2:C2"/>
    <mergeCell ref="D2:F2"/>
    <mergeCell ref="A3:F3"/>
    <mergeCell ref="C9:D9"/>
  </mergeCells>
  <pageMargins left="0.7" right="0.7" top="0.75" bottom="0.75" header="0.3" footer="0.3"/>
  <pageSetup paperSize="9" orientation="portrait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G19" sqref="G1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840</v>
      </c>
      <c r="B1" s="1"/>
      <c r="C1" s="1"/>
      <c r="D1" s="1" t="s">
        <v>835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6442</v>
      </c>
      <c r="B5" s="7" t="s">
        <v>624</v>
      </c>
      <c r="C5" s="7">
        <v>100</v>
      </c>
      <c r="D5" s="7">
        <v>2710</v>
      </c>
      <c r="E5" s="7">
        <f>SUM(C5*D5)</f>
        <v>271000</v>
      </c>
      <c r="F5" s="7" t="s">
        <v>611</v>
      </c>
    </row>
    <row r="6" spans="1:6">
      <c r="A6" s="16">
        <v>6749</v>
      </c>
      <c r="B6" s="7" t="s">
        <v>632</v>
      </c>
      <c r="C6" s="7">
        <v>100</v>
      </c>
      <c r="D6" s="7">
        <v>2710</v>
      </c>
      <c r="E6" s="7">
        <f>SUM(C6*D6)</f>
        <v>271000</v>
      </c>
      <c r="F6" s="7" t="s">
        <v>611</v>
      </c>
    </row>
    <row r="7" spans="3:10">
      <c r="C7" s="8" t="s">
        <v>18</v>
      </c>
      <c r="D7" s="8"/>
      <c r="E7" s="8">
        <f>SUM(E5:E6)</f>
        <v>542000</v>
      </c>
      <c r="I7" s="31"/>
      <c r="J7" s="31"/>
    </row>
    <row r="14" spans="12:12">
      <c r="L14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:F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842</v>
      </c>
      <c r="B1" s="1"/>
      <c r="C1" s="1"/>
      <c r="D1" s="1" t="s">
        <v>835</v>
      </c>
      <c r="E1" s="1"/>
      <c r="F1" s="1"/>
    </row>
    <row r="2" spans="1:6">
      <c r="A2" s="2" t="s">
        <v>843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6442</v>
      </c>
      <c r="B5" s="7" t="s">
        <v>624</v>
      </c>
      <c r="C5" s="7">
        <v>70</v>
      </c>
      <c r="D5" s="7">
        <v>2730</v>
      </c>
      <c r="E5" s="7">
        <f>SUM(C5*D5)</f>
        <v>191100</v>
      </c>
      <c r="F5" s="7" t="s">
        <v>611</v>
      </c>
    </row>
    <row r="6" spans="1:6">
      <c r="A6" s="16">
        <v>6749</v>
      </c>
      <c r="B6" s="7" t="s">
        <v>632</v>
      </c>
      <c r="C6" s="7">
        <v>70</v>
      </c>
      <c r="D6" s="7">
        <v>2730</v>
      </c>
      <c r="E6" s="7">
        <f>SUM(C6*D6)</f>
        <v>191100</v>
      </c>
      <c r="F6" s="7" t="s">
        <v>611</v>
      </c>
    </row>
    <row r="7" spans="3:10">
      <c r="C7" s="8" t="s">
        <v>18</v>
      </c>
      <c r="D7" s="8"/>
      <c r="E7" s="8">
        <f>SUM(E5:E6)</f>
        <v>382200</v>
      </c>
      <c r="I7" s="31"/>
      <c r="J7" s="31"/>
    </row>
    <row r="14" spans="12:12">
      <c r="L14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F23" sqref="F2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844</v>
      </c>
      <c r="B1" s="1"/>
      <c r="C1" s="1"/>
      <c r="D1" s="1" t="s">
        <v>835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6287</v>
      </c>
      <c r="B5" s="7" t="s">
        <v>499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1:6">
      <c r="A6" s="27">
        <v>6421</v>
      </c>
      <c r="B6" s="7" t="s">
        <v>622</v>
      </c>
      <c r="C6" s="7">
        <v>100</v>
      </c>
      <c r="D6" s="7">
        <v>2875</v>
      </c>
      <c r="E6" s="7">
        <f t="shared" ref="E6:E12" si="0">C6*D6</f>
        <v>287500</v>
      </c>
      <c r="F6" s="7" t="s">
        <v>611</v>
      </c>
    </row>
    <row r="7" spans="1:6">
      <c r="A7" s="27">
        <v>6420</v>
      </c>
      <c r="B7" s="7" t="s">
        <v>845</v>
      </c>
      <c r="C7" s="7">
        <v>100</v>
      </c>
      <c r="D7" s="7">
        <v>2875</v>
      </c>
      <c r="E7" s="7">
        <f t="shared" si="0"/>
        <v>287500</v>
      </c>
      <c r="F7" s="7" t="s">
        <v>611</v>
      </c>
    </row>
    <row r="8" spans="1:6">
      <c r="A8" s="27">
        <v>6614</v>
      </c>
      <c r="B8" s="7" t="s">
        <v>559</v>
      </c>
      <c r="C8" s="7">
        <v>100</v>
      </c>
      <c r="D8" s="7">
        <v>2875</v>
      </c>
      <c r="E8" s="7">
        <f t="shared" si="0"/>
        <v>287500</v>
      </c>
      <c r="F8" s="7" t="s">
        <v>570</v>
      </c>
    </row>
    <row r="9" spans="1:6">
      <c r="A9" s="7">
        <v>6631</v>
      </c>
      <c r="B9" s="7" t="s">
        <v>547</v>
      </c>
      <c r="C9" s="7">
        <v>100</v>
      </c>
      <c r="D9" s="7">
        <v>2875</v>
      </c>
      <c r="E9" s="7">
        <f t="shared" si="0"/>
        <v>287500</v>
      </c>
      <c r="F9" s="7" t="s">
        <v>570</v>
      </c>
    </row>
    <row r="10" spans="1:6">
      <c r="A10" s="7">
        <v>6629</v>
      </c>
      <c r="B10" s="7" t="s">
        <v>545</v>
      </c>
      <c r="C10" s="7">
        <v>100</v>
      </c>
      <c r="D10" s="7">
        <v>2875</v>
      </c>
      <c r="E10" s="7">
        <f t="shared" si="0"/>
        <v>287500</v>
      </c>
      <c r="F10" s="7" t="s">
        <v>570</v>
      </c>
    </row>
    <row r="11" spans="1:6">
      <c r="A11" s="7">
        <v>6630</v>
      </c>
      <c r="B11" s="7" t="s">
        <v>546</v>
      </c>
      <c r="C11" s="7">
        <v>100</v>
      </c>
      <c r="D11" s="7">
        <v>2875</v>
      </c>
      <c r="E11" s="7">
        <f t="shared" si="0"/>
        <v>287500</v>
      </c>
      <c r="F11" s="7" t="s">
        <v>570</v>
      </c>
    </row>
    <row r="12" spans="1:6">
      <c r="A12" s="7">
        <v>6288</v>
      </c>
      <c r="B12" s="7" t="s">
        <v>500</v>
      </c>
      <c r="C12" s="7">
        <v>100</v>
      </c>
      <c r="D12" s="7">
        <v>2875</v>
      </c>
      <c r="E12" s="7">
        <f t="shared" si="0"/>
        <v>287500</v>
      </c>
      <c r="F12" s="7" t="s">
        <v>570</v>
      </c>
    </row>
    <row r="13" spans="3:10">
      <c r="C13" s="8" t="s">
        <v>18</v>
      </c>
      <c r="D13" s="8"/>
      <c r="E13" s="8">
        <f>SUM(E5:E12)</f>
        <v>2300000</v>
      </c>
      <c r="I13" s="31"/>
      <c r="J13" s="31"/>
    </row>
    <row r="20" spans="12:12">
      <c r="L20" s="7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G13" sqref="G1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846</v>
      </c>
      <c r="B1" s="1"/>
      <c r="C1" s="1"/>
      <c r="D1" s="1" t="s">
        <v>835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6287</v>
      </c>
      <c r="B5" s="7" t="s">
        <v>499</v>
      </c>
      <c r="C5" s="7">
        <v>400</v>
      </c>
      <c r="D5" s="7">
        <v>2757</v>
      </c>
      <c r="E5" s="7">
        <f t="shared" ref="E5:E12" si="0">C5*D5</f>
        <v>1102800</v>
      </c>
      <c r="F5" s="7" t="s">
        <v>570</v>
      </c>
    </row>
    <row r="6" spans="1:6">
      <c r="A6" s="27">
        <v>6421</v>
      </c>
      <c r="B6" s="7" t="s">
        <v>622</v>
      </c>
      <c r="C6" s="7">
        <v>400</v>
      </c>
      <c r="D6" s="7">
        <v>2757</v>
      </c>
      <c r="E6" s="7">
        <f t="shared" si="0"/>
        <v>1102800</v>
      </c>
      <c r="F6" s="7" t="s">
        <v>611</v>
      </c>
    </row>
    <row r="7" spans="1:6">
      <c r="A7" s="27">
        <v>6420</v>
      </c>
      <c r="B7" s="7" t="s">
        <v>845</v>
      </c>
      <c r="C7" s="7">
        <v>400</v>
      </c>
      <c r="D7" s="7">
        <v>2757</v>
      </c>
      <c r="E7" s="7">
        <f t="shared" si="0"/>
        <v>1102800</v>
      </c>
      <c r="F7" s="7" t="s">
        <v>611</v>
      </c>
    </row>
    <row r="8" spans="1:6">
      <c r="A8" s="27">
        <v>6614</v>
      </c>
      <c r="B8" s="7" t="s">
        <v>559</v>
      </c>
      <c r="C8" s="7">
        <v>310</v>
      </c>
      <c r="D8" s="7">
        <v>2757</v>
      </c>
      <c r="E8" s="7">
        <f t="shared" si="0"/>
        <v>854670</v>
      </c>
      <c r="F8" s="7" t="s">
        <v>570</v>
      </c>
    </row>
    <row r="9" spans="1:6">
      <c r="A9" s="7">
        <v>6631</v>
      </c>
      <c r="B9" s="7" t="s">
        <v>547</v>
      </c>
      <c r="C9" s="7">
        <v>400</v>
      </c>
      <c r="D9" s="7">
        <v>2757</v>
      </c>
      <c r="E9" s="7">
        <f t="shared" si="0"/>
        <v>1102800</v>
      </c>
      <c r="F9" s="7" t="s">
        <v>570</v>
      </c>
    </row>
    <row r="10" spans="1:6">
      <c r="A10" s="7">
        <v>6629</v>
      </c>
      <c r="B10" s="7" t="s">
        <v>545</v>
      </c>
      <c r="C10" s="7">
        <v>400</v>
      </c>
      <c r="D10" s="7">
        <v>2757</v>
      </c>
      <c r="E10" s="7">
        <f t="shared" si="0"/>
        <v>1102800</v>
      </c>
      <c r="F10" s="7" t="s">
        <v>570</v>
      </c>
    </row>
    <row r="11" spans="1:6">
      <c r="A11" s="7">
        <v>6630</v>
      </c>
      <c r="B11" s="7" t="s">
        <v>546</v>
      </c>
      <c r="C11" s="7">
        <v>400</v>
      </c>
      <c r="D11" s="7">
        <v>2757</v>
      </c>
      <c r="E11" s="7">
        <f t="shared" si="0"/>
        <v>1102800</v>
      </c>
      <c r="F11" s="7" t="s">
        <v>570</v>
      </c>
    </row>
    <row r="12" spans="1:6">
      <c r="A12" s="7">
        <v>6288</v>
      </c>
      <c r="B12" s="7" t="s">
        <v>500</v>
      </c>
      <c r="C12" s="7">
        <v>400</v>
      </c>
      <c r="D12" s="7">
        <v>2757</v>
      </c>
      <c r="E12" s="7">
        <f t="shared" si="0"/>
        <v>1102800</v>
      </c>
      <c r="F12" s="7" t="s">
        <v>570</v>
      </c>
    </row>
    <row r="13" spans="3:10">
      <c r="C13" s="8" t="s">
        <v>18</v>
      </c>
      <c r="D13" s="8"/>
      <c r="E13" s="8">
        <f>SUM(E5:E12)</f>
        <v>8574270</v>
      </c>
      <c r="I13" s="31"/>
      <c r="J13" s="31"/>
    </row>
    <row r="20" spans="12:12">
      <c r="L20" s="7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D14" sqref="D1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847</v>
      </c>
      <c r="B1" s="1"/>
      <c r="C1" s="1"/>
      <c r="D1" s="1" t="s">
        <v>835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6421</v>
      </c>
      <c r="B5" s="7" t="s">
        <v>622</v>
      </c>
      <c r="C5" s="7">
        <v>100</v>
      </c>
      <c r="D5" s="7">
        <v>2710</v>
      </c>
      <c r="E5" s="7">
        <f>C5*D5</f>
        <v>271000</v>
      </c>
      <c r="F5" s="7" t="s">
        <v>611</v>
      </c>
    </row>
    <row r="6" spans="1:6">
      <c r="A6" s="27">
        <v>6420</v>
      </c>
      <c r="B6" s="7" t="s">
        <v>845</v>
      </c>
      <c r="C6" s="7">
        <v>100</v>
      </c>
      <c r="D6" s="7">
        <v>2710</v>
      </c>
      <c r="E6" s="7">
        <f>C6*D6</f>
        <v>271000</v>
      </c>
      <c r="F6" s="7" t="s">
        <v>611</v>
      </c>
    </row>
    <row r="7" spans="3:10">
      <c r="C7" s="8" t="s">
        <v>18</v>
      </c>
      <c r="D7" s="8"/>
      <c r="E7" s="8">
        <f>SUM(E5:E6)</f>
        <v>542000</v>
      </c>
      <c r="I7" s="31"/>
      <c r="J7" s="31"/>
    </row>
    <row r="14" spans="12:12">
      <c r="L14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A1:F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848</v>
      </c>
      <c r="B1" s="1"/>
      <c r="C1" s="1"/>
      <c r="D1" s="1" t="s">
        <v>835</v>
      </c>
      <c r="E1" s="1"/>
      <c r="F1" s="1"/>
    </row>
    <row r="2" spans="1:6">
      <c r="A2" s="2" t="s">
        <v>843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6421</v>
      </c>
      <c r="B5" s="7" t="s">
        <v>622</v>
      </c>
      <c r="C5" s="7">
        <v>70</v>
      </c>
      <c r="D5" s="7">
        <v>2730</v>
      </c>
      <c r="E5" s="7">
        <f>C5*D5</f>
        <v>191100</v>
      </c>
      <c r="F5" s="7" t="s">
        <v>611</v>
      </c>
    </row>
    <row r="6" spans="1:6">
      <c r="A6" s="27">
        <v>6420</v>
      </c>
      <c r="B6" s="7" t="s">
        <v>845</v>
      </c>
      <c r="C6" s="7">
        <v>70</v>
      </c>
      <c r="D6" s="7">
        <v>2730</v>
      </c>
      <c r="E6" s="7">
        <f>C6*D6</f>
        <v>191100</v>
      </c>
      <c r="F6" s="7" t="s">
        <v>611</v>
      </c>
    </row>
    <row r="7" spans="3:10">
      <c r="C7" s="8" t="s">
        <v>18</v>
      </c>
      <c r="D7" s="8"/>
      <c r="E7" s="8">
        <f>SUM(E5:E6)</f>
        <v>382200</v>
      </c>
      <c r="I7" s="31"/>
      <c r="J7" s="31"/>
    </row>
    <row r="14" spans="12:12">
      <c r="L14" s="7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H15" sqref="H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849</v>
      </c>
      <c r="B1" s="1"/>
      <c r="C1" s="1"/>
      <c r="D1" s="1" t="s">
        <v>835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 t="s">
        <v>49</v>
      </c>
      <c r="B5" s="7" t="s">
        <v>245</v>
      </c>
      <c r="C5" s="7">
        <v>120</v>
      </c>
      <c r="D5" s="7">
        <v>2704</v>
      </c>
      <c r="E5" s="7">
        <f>C5*D5</f>
        <v>324480</v>
      </c>
      <c r="F5" s="27" t="s">
        <v>49</v>
      </c>
    </row>
    <row r="6" spans="1:6">
      <c r="A6" s="27" t="s">
        <v>49</v>
      </c>
      <c r="B6" s="7" t="s">
        <v>356</v>
      </c>
      <c r="C6" s="7">
        <v>120</v>
      </c>
      <c r="D6" s="7">
        <v>2704</v>
      </c>
      <c r="E6" s="7">
        <f>C6*D6</f>
        <v>324480</v>
      </c>
      <c r="F6" s="27" t="s">
        <v>49</v>
      </c>
    </row>
    <row r="7" spans="1:6">
      <c r="A7" s="27" t="s">
        <v>49</v>
      </c>
      <c r="B7" s="7" t="s">
        <v>352</v>
      </c>
      <c r="C7" s="7">
        <v>120</v>
      </c>
      <c r="D7" s="7">
        <v>2704</v>
      </c>
      <c r="E7" s="7">
        <f>C7*D7</f>
        <v>324480</v>
      </c>
      <c r="F7" s="27" t="s">
        <v>49</v>
      </c>
    </row>
    <row r="8" spans="3:10">
      <c r="C8" s="8" t="s">
        <v>18</v>
      </c>
      <c r="D8" s="8"/>
      <c r="E8" s="8">
        <f>SUM(E5:E7)</f>
        <v>973440</v>
      </c>
      <c r="I8" s="31"/>
      <c r="J8" s="31"/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F22" sqref="F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850</v>
      </c>
      <c r="B1" s="1"/>
      <c r="C1" s="1"/>
      <c r="D1" s="1" t="s">
        <v>835</v>
      </c>
      <c r="E1" s="1"/>
      <c r="F1" s="1"/>
    </row>
    <row r="2" spans="1:6">
      <c r="A2" s="2" t="s">
        <v>799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6760</v>
      </c>
      <c r="B5" s="7" t="s">
        <v>851</v>
      </c>
      <c r="C5" s="7">
        <v>50</v>
      </c>
      <c r="D5" s="7">
        <v>1.2</v>
      </c>
      <c r="E5" s="7">
        <f>SUM(C5*D5)</f>
        <v>60</v>
      </c>
      <c r="F5" s="27" t="s">
        <v>852</v>
      </c>
    </row>
    <row r="6" spans="1:6">
      <c r="A6" s="16">
        <v>6765</v>
      </c>
      <c r="B6" s="7" t="s">
        <v>853</v>
      </c>
      <c r="C6" s="7">
        <v>50</v>
      </c>
      <c r="D6" s="7">
        <v>1.2</v>
      </c>
      <c r="E6" s="7">
        <f>SUM(C6*D6)</f>
        <v>60</v>
      </c>
      <c r="F6" s="27" t="s">
        <v>852</v>
      </c>
    </row>
    <row r="7" spans="1:6">
      <c r="A7" s="16">
        <v>6732</v>
      </c>
      <c r="B7" s="7" t="s">
        <v>318</v>
      </c>
      <c r="C7" s="7">
        <v>50</v>
      </c>
      <c r="D7" s="7">
        <v>1.2</v>
      </c>
      <c r="E7" s="7">
        <f>SUM(C7*D7)</f>
        <v>60</v>
      </c>
      <c r="F7" s="27" t="s">
        <v>570</v>
      </c>
    </row>
    <row r="8" spans="3:10">
      <c r="C8" s="8" t="s">
        <v>18</v>
      </c>
      <c r="D8" s="8"/>
      <c r="E8" s="8">
        <f>SUM(E5:E7)</f>
        <v>180</v>
      </c>
      <c r="I8" s="31"/>
      <c r="J8" s="31"/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J19" sqref="J1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854</v>
      </c>
      <c r="B1" s="1"/>
      <c r="C1" s="1"/>
      <c r="D1" s="1" t="s">
        <v>835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6760</v>
      </c>
      <c r="B5" s="7" t="s">
        <v>851</v>
      </c>
      <c r="C5" s="7">
        <v>350</v>
      </c>
      <c r="D5" s="7">
        <v>1.2</v>
      </c>
      <c r="E5" s="7">
        <f t="shared" ref="E5:E7" si="0">SUM(C5*D5)</f>
        <v>420</v>
      </c>
      <c r="F5" s="27" t="s">
        <v>852</v>
      </c>
    </row>
    <row r="6" spans="1:6">
      <c r="A6" s="16">
        <v>6765</v>
      </c>
      <c r="B6" s="7" t="s">
        <v>853</v>
      </c>
      <c r="C6" s="7">
        <v>350</v>
      </c>
      <c r="D6" s="7">
        <v>1.2</v>
      </c>
      <c r="E6" s="7">
        <f t="shared" si="0"/>
        <v>420</v>
      </c>
      <c r="F6" s="27" t="s">
        <v>852</v>
      </c>
    </row>
    <row r="7" spans="1:6">
      <c r="A7" s="16">
        <v>6732</v>
      </c>
      <c r="B7" s="7" t="s">
        <v>318</v>
      </c>
      <c r="C7" s="7">
        <v>350</v>
      </c>
      <c r="D7" s="7">
        <v>1.2</v>
      </c>
      <c r="E7" s="7">
        <f t="shared" si="0"/>
        <v>420</v>
      </c>
      <c r="F7" s="27" t="s">
        <v>570</v>
      </c>
    </row>
    <row r="8" spans="3:10">
      <c r="C8" s="8" t="s">
        <v>18</v>
      </c>
      <c r="D8" s="8"/>
      <c r="E8" s="8">
        <f>SUM(E5:E7)</f>
        <v>1260</v>
      </c>
      <c r="I8" s="31"/>
      <c r="J8" s="31"/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K39" sqref="K3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855</v>
      </c>
      <c r="B1" s="1"/>
      <c r="C1" s="1"/>
      <c r="D1" s="1" t="s">
        <v>835</v>
      </c>
      <c r="E1" s="1"/>
      <c r="F1" s="1"/>
    </row>
    <row r="2" spans="1:6">
      <c r="A2" s="2" t="s">
        <v>778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6677</v>
      </c>
      <c r="B5" s="7" t="s">
        <v>343</v>
      </c>
      <c r="C5" s="7">
        <v>40</v>
      </c>
      <c r="D5" s="7">
        <v>1.2</v>
      </c>
      <c r="E5" s="7">
        <f>SUM(C5*D5)</f>
        <v>48</v>
      </c>
      <c r="F5" s="27" t="s">
        <v>570</v>
      </c>
    </row>
    <row r="6" spans="3:10">
      <c r="C6" s="8" t="s">
        <v>18</v>
      </c>
      <c r="D6" s="8"/>
      <c r="E6" s="8">
        <f>SUM(E5:E5)</f>
        <v>48</v>
      </c>
      <c r="I6" s="31"/>
      <c r="J6" s="31"/>
    </row>
    <row r="13" spans="12:12">
      <c r="L13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G21" sqref="G2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856</v>
      </c>
      <c r="B1" s="1"/>
      <c r="C1" s="1"/>
      <c r="D1" s="1" t="s">
        <v>835</v>
      </c>
      <c r="E1" s="1"/>
      <c r="F1" s="1"/>
    </row>
    <row r="2" spans="1:6">
      <c r="A2" s="2" t="s">
        <v>61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49</v>
      </c>
      <c r="B5" s="7" t="s">
        <v>355</v>
      </c>
      <c r="C5" s="7">
        <v>120</v>
      </c>
      <c r="D5" s="7">
        <v>2704</v>
      </c>
      <c r="E5" s="7">
        <f>C5*D5</f>
        <v>324480</v>
      </c>
      <c r="F5" s="7" t="s">
        <v>49</v>
      </c>
    </row>
    <row r="6" spans="1:6">
      <c r="A6" s="7" t="s">
        <v>49</v>
      </c>
      <c r="B6" s="7" t="s">
        <v>461</v>
      </c>
      <c r="C6" s="7">
        <v>150</v>
      </c>
      <c r="D6" s="7">
        <v>2704</v>
      </c>
      <c r="E6" s="7">
        <f>C6*D6</f>
        <v>405600</v>
      </c>
      <c r="F6" s="7" t="s">
        <v>49</v>
      </c>
    </row>
    <row r="7" spans="1:6">
      <c r="A7" s="7" t="s">
        <v>49</v>
      </c>
      <c r="B7" s="7" t="s">
        <v>430</v>
      </c>
      <c r="C7" s="7">
        <v>150</v>
      </c>
      <c r="D7" s="7">
        <v>2704</v>
      </c>
      <c r="E7" s="7">
        <f>C7*D7</f>
        <v>405600</v>
      </c>
      <c r="F7" s="7" t="s">
        <v>49</v>
      </c>
    </row>
    <row r="8" spans="3:10">
      <c r="C8" s="8" t="s">
        <v>18</v>
      </c>
      <c r="D8" s="8"/>
      <c r="E8" s="8">
        <f>SUM(E5:E7)</f>
        <v>1135680</v>
      </c>
      <c r="I8" s="31"/>
      <c r="J8" s="31"/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I6" sqref="I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857</v>
      </c>
      <c r="B1" s="1"/>
      <c r="C1" s="1"/>
      <c r="D1" s="1" t="s">
        <v>835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6711</v>
      </c>
      <c r="B5" s="7" t="s">
        <v>79</v>
      </c>
      <c r="C5" s="7">
        <v>260</v>
      </c>
      <c r="D5" s="7">
        <v>1.2</v>
      </c>
      <c r="E5" s="7">
        <f>C5*D5</f>
        <v>312</v>
      </c>
      <c r="F5" s="7" t="s">
        <v>653</v>
      </c>
    </row>
    <row r="6" spans="1:6">
      <c r="A6" s="7">
        <v>6777</v>
      </c>
      <c r="B6" s="7" t="s">
        <v>145</v>
      </c>
      <c r="C6" s="7">
        <v>560</v>
      </c>
      <c r="D6" s="7">
        <v>1.2</v>
      </c>
      <c r="E6" s="7">
        <f t="shared" ref="E6:E17" si="0">C6*D6</f>
        <v>672</v>
      </c>
      <c r="F6" s="7" t="s">
        <v>655</v>
      </c>
    </row>
    <row r="7" spans="1:6">
      <c r="A7" s="7">
        <v>6574</v>
      </c>
      <c r="B7" s="7" t="s">
        <v>133</v>
      </c>
      <c r="C7" s="7">
        <v>560</v>
      </c>
      <c r="D7" s="7">
        <v>1.2</v>
      </c>
      <c r="E7" s="7">
        <f t="shared" si="0"/>
        <v>672</v>
      </c>
      <c r="F7" s="7" t="s">
        <v>655</v>
      </c>
    </row>
    <row r="8" spans="1:6">
      <c r="A8" s="7">
        <v>6779</v>
      </c>
      <c r="B8" s="7" t="s">
        <v>238</v>
      </c>
      <c r="C8" s="7">
        <v>560</v>
      </c>
      <c r="D8" s="7">
        <v>1.2</v>
      </c>
      <c r="E8" s="7">
        <f t="shared" si="0"/>
        <v>672</v>
      </c>
      <c r="F8" s="7" t="s">
        <v>655</v>
      </c>
    </row>
    <row r="9" spans="1:6">
      <c r="A9" s="7">
        <v>6794</v>
      </c>
      <c r="B9" s="7" t="s">
        <v>351</v>
      </c>
      <c r="C9" s="7">
        <v>560</v>
      </c>
      <c r="D9" s="7">
        <v>1.2</v>
      </c>
      <c r="E9" s="7">
        <f t="shared" si="0"/>
        <v>672</v>
      </c>
      <c r="F9" s="7" t="s">
        <v>655</v>
      </c>
    </row>
    <row r="10" spans="1:6">
      <c r="A10" s="7">
        <v>6793</v>
      </c>
      <c r="B10" s="7" t="s">
        <v>349</v>
      </c>
      <c r="C10" s="7">
        <v>560</v>
      </c>
      <c r="D10" s="7">
        <v>1.2</v>
      </c>
      <c r="E10" s="7">
        <f t="shared" si="0"/>
        <v>672</v>
      </c>
      <c r="F10" s="7" t="s">
        <v>655</v>
      </c>
    </row>
    <row r="11" spans="1:6">
      <c r="A11" s="7">
        <v>6816</v>
      </c>
      <c r="B11" s="7" t="s">
        <v>335</v>
      </c>
      <c r="C11" s="7">
        <v>260</v>
      </c>
      <c r="D11" s="7">
        <v>1.2</v>
      </c>
      <c r="E11" s="7">
        <f t="shared" si="0"/>
        <v>312</v>
      </c>
      <c r="F11" s="7" t="s">
        <v>653</v>
      </c>
    </row>
    <row r="12" spans="1:6">
      <c r="A12" s="7">
        <v>6712</v>
      </c>
      <c r="B12" s="7" t="s">
        <v>80</v>
      </c>
      <c r="C12" s="7">
        <v>300</v>
      </c>
      <c r="D12" s="7">
        <v>1.2</v>
      </c>
      <c r="E12" s="7">
        <f t="shared" si="0"/>
        <v>360</v>
      </c>
      <c r="F12" s="7" t="s">
        <v>653</v>
      </c>
    </row>
    <row r="13" spans="1:6">
      <c r="A13" s="7">
        <v>6700</v>
      </c>
      <c r="B13" s="7" t="s">
        <v>81</v>
      </c>
      <c r="C13" s="7">
        <v>560</v>
      </c>
      <c r="D13" s="7">
        <v>1.2</v>
      </c>
      <c r="E13" s="7">
        <f t="shared" si="0"/>
        <v>672</v>
      </c>
      <c r="F13" s="7" t="s">
        <v>667</v>
      </c>
    </row>
    <row r="14" spans="1:6">
      <c r="A14" s="7">
        <v>6549</v>
      </c>
      <c r="B14" s="7" t="s">
        <v>220</v>
      </c>
      <c r="C14" s="7">
        <v>600</v>
      </c>
      <c r="D14" s="7">
        <v>1.2</v>
      </c>
      <c r="E14" s="7">
        <f t="shared" si="0"/>
        <v>720</v>
      </c>
      <c r="F14" s="7" t="s">
        <v>655</v>
      </c>
    </row>
    <row r="15" spans="1:6">
      <c r="A15" s="7">
        <v>6689</v>
      </c>
      <c r="B15" s="7" t="s">
        <v>535</v>
      </c>
      <c r="C15" s="7">
        <v>500</v>
      </c>
      <c r="D15" s="7">
        <v>1.2</v>
      </c>
      <c r="E15" s="7">
        <f t="shared" si="0"/>
        <v>600</v>
      </c>
      <c r="F15" s="7" t="s">
        <v>212</v>
      </c>
    </row>
    <row r="16" spans="1:6">
      <c r="A16" s="7">
        <v>6563</v>
      </c>
      <c r="B16" s="7" t="s">
        <v>98</v>
      </c>
      <c r="C16" s="7">
        <v>600</v>
      </c>
      <c r="D16" s="7">
        <v>1.2</v>
      </c>
      <c r="E16" s="7">
        <f t="shared" si="0"/>
        <v>720</v>
      </c>
      <c r="F16" s="7" t="s">
        <v>655</v>
      </c>
    </row>
    <row r="17" spans="1:6">
      <c r="A17" s="7">
        <v>6775</v>
      </c>
      <c r="B17" s="7" t="s">
        <v>153</v>
      </c>
      <c r="C17" s="7">
        <v>560</v>
      </c>
      <c r="D17" s="7">
        <v>1.2</v>
      </c>
      <c r="E17" s="7">
        <f t="shared" si="0"/>
        <v>672</v>
      </c>
      <c r="F17" s="7" t="s">
        <v>655</v>
      </c>
    </row>
    <row r="18" spans="3:10">
      <c r="C18" s="8" t="s">
        <v>18</v>
      </c>
      <c r="D18" s="8"/>
      <c r="E18" s="8">
        <f>SUM(E5:E17)</f>
        <v>7728</v>
      </c>
      <c r="I18" s="31"/>
      <c r="J18" s="31"/>
    </row>
    <row r="25" spans="12:12">
      <c r="L25" s="7"/>
    </row>
  </sheetData>
  <mergeCells count="6">
    <mergeCell ref="A1:C1"/>
    <mergeCell ref="D1:F1"/>
    <mergeCell ref="A2:C2"/>
    <mergeCell ref="D2:F2"/>
    <mergeCell ref="A3:F3"/>
    <mergeCell ref="C18:D18"/>
  </mergeCells>
  <pageMargins left="0.7" right="0.7" top="0.75" bottom="0.75" header="0.3" footer="0.3"/>
  <pageSetup paperSize="9" orientation="portrait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J20" sqref="J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858</v>
      </c>
      <c r="B1" s="1"/>
      <c r="C1" s="1"/>
      <c r="D1" s="1" t="s">
        <v>835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49</v>
      </c>
      <c r="B5" s="7" t="s">
        <v>504</v>
      </c>
      <c r="C5" s="7">
        <v>70</v>
      </c>
      <c r="D5" s="7">
        <v>2729</v>
      </c>
      <c r="E5" s="7">
        <f>C5*D5</f>
        <v>191030</v>
      </c>
      <c r="F5" s="7" t="s">
        <v>49</v>
      </c>
    </row>
    <row r="6" spans="3:10">
      <c r="C6" s="8" t="s">
        <v>18</v>
      </c>
      <c r="D6" s="8"/>
      <c r="E6" s="8">
        <f>SUM(E5:E5)</f>
        <v>191030</v>
      </c>
      <c r="I6" s="31"/>
      <c r="J6" s="31"/>
    </row>
    <row r="13" spans="12:12">
      <c r="L13" s="7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G20" sqref="G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859</v>
      </c>
      <c r="B1" s="1"/>
      <c r="C1" s="1"/>
      <c r="D1" s="1" t="s">
        <v>860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6740</v>
      </c>
      <c r="B5" s="7" t="s">
        <v>626</v>
      </c>
      <c r="C5" s="7">
        <v>100</v>
      </c>
      <c r="D5" s="7">
        <v>2710</v>
      </c>
      <c r="E5" s="7">
        <f>C5*D5</f>
        <v>271000</v>
      </c>
      <c r="F5" s="7" t="s">
        <v>611</v>
      </c>
    </row>
    <row r="6" spans="1:6">
      <c r="A6" s="21">
        <v>6436</v>
      </c>
      <c r="B6" s="7" t="s">
        <v>610</v>
      </c>
      <c r="C6" s="7">
        <v>100</v>
      </c>
      <c r="D6" s="7">
        <v>2710</v>
      </c>
      <c r="E6" s="7">
        <f>C6*D6</f>
        <v>271000</v>
      </c>
      <c r="F6" s="7" t="s">
        <v>611</v>
      </c>
    </row>
    <row r="7" spans="1:6">
      <c r="A7" s="16">
        <v>6747</v>
      </c>
      <c r="B7" s="7" t="s">
        <v>630</v>
      </c>
      <c r="C7" s="7">
        <v>100</v>
      </c>
      <c r="D7" s="7">
        <v>2710</v>
      </c>
      <c r="E7" s="7">
        <f>C7*D7</f>
        <v>271000</v>
      </c>
      <c r="F7" s="7" t="s">
        <v>611</v>
      </c>
    </row>
    <row r="8" spans="1:6">
      <c r="A8" s="27">
        <v>6423</v>
      </c>
      <c r="B8" s="7" t="s">
        <v>633</v>
      </c>
      <c r="C8" s="7">
        <v>100</v>
      </c>
      <c r="D8" s="7">
        <v>2710</v>
      </c>
      <c r="E8" s="7">
        <f>C8*D8</f>
        <v>271000</v>
      </c>
      <c r="F8" s="7" t="s">
        <v>611</v>
      </c>
    </row>
    <row r="9" spans="3:10">
      <c r="C9" s="8" t="s">
        <v>18</v>
      </c>
      <c r="D9" s="8"/>
      <c r="E9" s="7">
        <f>SUM(E5:E8)</f>
        <v>1084000</v>
      </c>
      <c r="I9" s="31"/>
      <c r="J9" s="31"/>
    </row>
    <row r="16" spans="12:12">
      <c r="L16" s="7"/>
    </row>
  </sheetData>
  <mergeCells count="6">
    <mergeCell ref="A1:C1"/>
    <mergeCell ref="D1:F1"/>
    <mergeCell ref="A2:C2"/>
    <mergeCell ref="D2:F2"/>
    <mergeCell ref="A3:F3"/>
    <mergeCell ref="C9:D9"/>
  </mergeCells>
  <pageMargins left="0.7" right="0.7" top="0.75" bottom="0.75" header="0.3" footer="0.3"/>
  <pageSetup paperSize="9" orientation="portrait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I12" sqref="I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861</v>
      </c>
      <c r="B1" s="1"/>
      <c r="C1" s="1"/>
      <c r="D1" s="1" t="s">
        <v>860</v>
      </c>
      <c r="E1" s="1"/>
      <c r="F1" s="1"/>
    </row>
    <row r="2" spans="1:6">
      <c r="A2" s="2" t="s">
        <v>843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6740</v>
      </c>
      <c r="B5" s="7" t="s">
        <v>626</v>
      </c>
      <c r="C5" s="7">
        <v>70</v>
      </c>
      <c r="D5" s="7">
        <v>2710</v>
      </c>
      <c r="E5" s="7">
        <f t="shared" ref="E5:E8" si="0">C5*D5</f>
        <v>189700</v>
      </c>
      <c r="F5" s="7" t="s">
        <v>611</v>
      </c>
    </row>
    <row r="6" spans="1:6">
      <c r="A6" s="21">
        <v>6436</v>
      </c>
      <c r="B6" s="7" t="s">
        <v>610</v>
      </c>
      <c r="C6" s="7">
        <v>70</v>
      </c>
      <c r="D6" s="7">
        <v>2710</v>
      </c>
      <c r="E6" s="7">
        <f t="shared" si="0"/>
        <v>189700</v>
      </c>
      <c r="F6" s="7" t="s">
        <v>611</v>
      </c>
    </row>
    <row r="7" spans="1:6">
      <c r="A7" s="16">
        <v>6747</v>
      </c>
      <c r="B7" s="7" t="s">
        <v>630</v>
      </c>
      <c r="C7" s="7">
        <v>70</v>
      </c>
      <c r="D7" s="7">
        <v>2710</v>
      </c>
      <c r="E7" s="7">
        <f t="shared" si="0"/>
        <v>189700</v>
      </c>
      <c r="F7" s="7" t="s">
        <v>611</v>
      </c>
    </row>
    <row r="8" spans="1:6">
      <c r="A8" s="27">
        <v>6423</v>
      </c>
      <c r="B8" s="7" t="s">
        <v>633</v>
      </c>
      <c r="C8" s="7">
        <v>70</v>
      </c>
      <c r="D8" s="7">
        <v>2710</v>
      </c>
      <c r="E8" s="7">
        <f t="shared" si="0"/>
        <v>189700</v>
      </c>
      <c r="F8" s="7" t="s">
        <v>611</v>
      </c>
    </row>
    <row r="9" spans="3:10">
      <c r="C9" s="8" t="s">
        <v>18</v>
      </c>
      <c r="D9" s="8"/>
      <c r="E9" s="7">
        <f>SUM(E5:E8)</f>
        <v>758800</v>
      </c>
      <c r="I9" s="31"/>
      <c r="J9" s="31"/>
    </row>
    <row r="16" spans="12:12">
      <c r="L16" s="7"/>
    </row>
  </sheetData>
  <mergeCells count="6">
    <mergeCell ref="A1:C1"/>
    <mergeCell ref="D1:F1"/>
    <mergeCell ref="A2:C2"/>
    <mergeCell ref="D2:F2"/>
    <mergeCell ref="A3:F3"/>
    <mergeCell ref="C9:D9"/>
  </mergeCells>
  <pageMargins left="0.7" right="0.7" top="0.75" bottom="0.75" header="0.3" footer="0.3"/>
  <pageSetup paperSize="9" orientation="portrait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H31" sqref="H3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862</v>
      </c>
      <c r="B1" s="1"/>
      <c r="C1" s="1"/>
      <c r="D1" s="1" t="s">
        <v>860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6806</v>
      </c>
      <c r="B5" s="22" t="s">
        <v>350</v>
      </c>
      <c r="C5" s="7">
        <v>450</v>
      </c>
      <c r="D5" s="7">
        <v>2757</v>
      </c>
      <c r="E5" s="7">
        <f>C5*D5</f>
        <v>1240650</v>
      </c>
      <c r="F5" s="7" t="s">
        <v>212</v>
      </c>
    </row>
    <row r="6" spans="1:6">
      <c r="A6" s="7">
        <v>6801</v>
      </c>
      <c r="B6" s="22" t="s">
        <v>332</v>
      </c>
      <c r="C6" s="7">
        <v>450</v>
      </c>
      <c r="D6" s="7">
        <v>2757</v>
      </c>
      <c r="E6" s="7">
        <f>C6*D6</f>
        <v>1240650</v>
      </c>
      <c r="F6" s="7" t="s">
        <v>212</v>
      </c>
    </row>
    <row r="7" spans="1:6">
      <c r="A7" s="7">
        <v>6798</v>
      </c>
      <c r="B7" s="22" t="s">
        <v>295</v>
      </c>
      <c r="C7" s="7">
        <v>450</v>
      </c>
      <c r="D7" s="7">
        <v>2757</v>
      </c>
      <c r="E7" s="7">
        <f>C7*D7</f>
        <v>1240650</v>
      </c>
      <c r="F7" s="7" t="s">
        <v>212</v>
      </c>
    </row>
    <row r="8" spans="1:6">
      <c r="A8" s="7">
        <v>6807</v>
      </c>
      <c r="B8" s="22" t="s">
        <v>353</v>
      </c>
      <c r="C8" s="7">
        <v>450</v>
      </c>
      <c r="D8" s="7">
        <v>2757</v>
      </c>
      <c r="E8" s="7">
        <f>C8*D8</f>
        <v>1240650</v>
      </c>
      <c r="F8" s="7" t="s">
        <v>212</v>
      </c>
    </row>
    <row r="9" spans="1:6">
      <c r="A9" s="7">
        <v>6872</v>
      </c>
      <c r="B9" s="22" t="s">
        <v>242</v>
      </c>
      <c r="C9" s="7">
        <v>450</v>
      </c>
      <c r="D9" s="7">
        <v>2757</v>
      </c>
      <c r="E9" s="7">
        <f>C9*D9</f>
        <v>1240650</v>
      </c>
      <c r="F9" s="7" t="s">
        <v>655</v>
      </c>
    </row>
    <row r="10" spans="3:10">
      <c r="C10" s="8" t="s">
        <v>18</v>
      </c>
      <c r="D10" s="8"/>
      <c r="E10" s="7">
        <f>SUM(E5:E9)</f>
        <v>6203250</v>
      </c>
      <c r="I10" s="31"/>
      <c r="J10" s="31"/>
    </row>
    <row r="17" spans="12:12">
      <c r="L17" s="7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pageSetup paperSize="9" orientation="portrait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G21" sqref="G2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863</v>
      </c>
      <c r="B1" s="1"/>
      <c r="C1" s="1"/>
      <c r="D1" s="1" t="s">
        <v>860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6701</v>
      </c>
      <c r="B5" s="22" t="s">
        <v>82</v>
      </c>
      <c r="C5" s="7">
        <v>560</v>
      </c>
      <c r="D5" s="7">
        <v>1.2</v>
      </c>
      <c r="E5" s="7">
        <f>C5*D5</f>
        <v>672</v>
      </c>
      <c r="F5" s="7" t="s">
        <v>667</v>
      </c>
    </row>
    <row r="6" spans="1:6">
      <c r="A6" s="7">
        <v>6703</v>
      </c>
      <c r="B6" s="22" t="s">
        <v>84</v>
      </c>
      <c r="C6" s="7">
        <v>600</v>
      </c>
      <c r="D6" s="7">
        <v>1.2</v>
      </c>
      <c r="E6" s="7">
        <f>C6*D6</f>
        <v>720</v>
      </c>
      <c r="F6" s="7" t="s">
        <v>667</v>
      </c>
    </row>
    <row r="7" spans="1:6">
      <c r="A7" s="7">
        <v>6702</v>
      </c>
      <c r="B7" s="22" t="s">
        <v>83</v>
      </c>
      <c r="C7" s="7">
        <v>560</v>
      </c>
      <c r="D7" s="7">
        <v>1.2</v>
      </c>
      <c r="E7" s="7">
        <f>C7*D7</f>
        <v>672</v>
      </c>
      <c r="F7" s="7" t="s">
        <v>667</v>
      </c>
    </row>
    <row r="8" spans="3:10">
      <c r="C8" s="8" t="s">
        <v>18</v>
      </c>
      <c r="D8" s="8"/>
      <c r="E8" s="7">
        <f>SUM(E5:E7)</f>
        <v>2064</v>
      </c>
      <c r="I8" s="31"/>
      <c r="J8" s="31"/>
    </row>
    <row r="15" spans="12:12">
      <c r="L15" s="7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H23" sqref="H2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864</v>
      </c>
      <c r="B1" s="1"/>
      <c r="C1" s="1"/>
      <c r="D1" s="1" t="s">
        <v>860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49</v>
      </c>
      <c r="B5" s="25" t="s">
        <v>691</v>
      </c>
      <c r="C5" s="32">
        <v>350</v>
      </c>
      <c r="D5" s="7">
        <v>2940.6</v>
      </c>
      <c r="E5" s="7">
        <f>C5*D5</f>
        <v>1029210</v>
      </c>
      <c r="F5" s="7" t="s">
        <v>49</v>
      </c>
    </row>
    <row r="6" spans="1:6">
      <c r="A6" s="7" t="s">
        <v>49</v>
      </c>
      <c r="B6" s="25" t="s">
        <v>178</v>
      </c>
      <c r="C6" s="32">
        <v>350</v>
      </c>
      <c r="D6" s="7">
        <v>2940.6</v>
      </c>
      <c r="E6" s="7">
        <f t="shared" ref="E6:E13" si="0">C6*D6</f>
        <v>1029210</v>
      </c>
      <c r="F6" s="7" t="s">
        <v>49</v>
      </c>
    </row>
    <row r="7" spans="1:6">
      <c r="A7" s="7" t="s">
        <v>49</v>
      </c>
      <c r="B7" s="25" t="s">
        <v>92</v>
      </c>
      <c r="C7" s="32">
        <v>350</v>
      </c>
      <c r="D7" s="7">
        <v>2940.6</v>
      </c>
      <c r="E7" s="7">
        <f t="shared" si="0"/>
        <v>1029210</v>
      </c>
      <c r="F7" s="7" t="s">
        <v>49</v>
      </c>
    </row>
    <row r="8" spans="1:6">
      <c r="A8" s="7" t="s">
        <v>49</v>
      </c>
      <c r="B8" s="25" t="s">
        <v>123</v>
      </c>
      <c r="C8" s="32">
        <v>350</v>
      </c>
      <c r="D8" s="7">
        <v>2940.6</v>
      </c>
      <c r="E8" s="7">
        <f t="shared" si="0"/>
        <v>1029210</v>
      </c>
      <c r="F8" s="7" t="s">
        <v>49</v>
      </c>
    </row>
    <row r="9" spans="1:6">
      <c r="A9" s="7" t="s">
        <v>49</v>
      </c>
      <c r="B9" s="25" t="s">
        <v>681</v>
      </c>
      <c r="C9" s="32">
        <v>350</v>
      </c>
      <c r="D9" s="7">
        <v>2940.6</v>
      </c>
      <c r="E9" s="7">
        <f t="shared" si="0"/>
        <v>1029210</v>
      </c>
      <c r="F9" s="7" t="s">
        <v>49</v>
      </c>
    </row>
    <row r="10" spans="1:6">
      <c r="A10" s="7" t="s">
        <v>49</v>
      </c>
      <c r="B10" s="25" t="s">
        <v>122</v>
      </c>
      <c r="C10" s="32">
        <v>350</v>
      </c>
      <c r="D10" s="7">
        <v>2940.6</v>
      </c>
      <c r="E10" s="7">
        <f t="shared" si="0"/>
        <v>1029210</v>
      </c>
      <c r="F10" s="7" t="s">
        <v>49</v>
      </c>
    </row>
    <row r="11" spans="1:6">
      <c r="A11" s="7" t="s">
        <v>49</v>
      </c>
      <c r="B11" s="25" t="s">
        <v>683</v>
      </c>
      <c r="C11" s="32">
        <v>350</v>
      </c>
      <c r="D11" s="7">
        <v>2940.6</v>
      </c>
      <c r="E11" s="7">
        <f t="shared" si="0"/>
        <v>1029210</v>
      </c>
      <c r="F11" s="7" t="s">
        <v>49</v>
      </c>
    </row>
    <row r="12" spans="1:6">
      <c r="A12" s="7" t="s">
        <v>49</v>
      </c>
      <c r="B12" s="25" t="s">
        <v>155</v>
      </c>
      <c r="C12" s="32">
        <v>460</v>
      </c>
      <c r="D12" s="7">
        <v>2940.6</v>
      </c>
      <c r="E12" s="7">
        <f t="shared" si="0"/>
        <v>1352676</v>
      </c>
      <c r="F12" s="7" t="s">
        <v>49</v>
      </c>
    </row>
    <row r="13" spans="1:6">
      <c r="A13" s="7" t="s">
        <v>49</v>
      </c>
      <c r="B13" s="25" t="s">
        <v>121</v>
      </c>
      <c r="C13" s="32">
        <v>350</v>
      </c>
      <c r="D13" s="7">
        <v>2940.6</v>
      </c>
      <c r="E13" s="7">
        <f t="shared" si="0"/>
        <v>1029210</v>
      </c>
      <c r="F13" s="7" t="s">
        <v>49</v>
      </c>
    </row>
    <row r="14" spans="3:10">
      <c r="C14" s="8" t="s">
        <v>18</v>
      </c>
      <c r="D14" s="8"/>
      <c r="E14" s="7">
        <f>SUM(E5:E13)</f>
        <v>9586356</v>
      </c>
      <c r="I14" s="31"/>
      <c r="J14" s="31"/>
    </row>
    <row r="21" spans="12:12">
      <c r="L21" s="7"/>
    </row>
    <row r="30" spans="15:16">
      <c r="O30" s="14"/>
      <c r="P30" s="14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  <row r="36" spans="15:16">
      <c r="O36" s="15"/>
      <c r="P36" s="15"/>
    </row>
    <row r="37" spans="15:16">
      <c r="O37" s="15"/>
      <c r="P37" s="15"/>
    </row>
    <row r="38" spans="15:16">
      <c r="O38" s="15"/>
      <c r="P38" s="15"/>
    </row>
    <row r="39" spans="15:16">
      <c r="O39" s="15"/>
      <c r="P39" s="15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pageSetup paperSize="9" orientation="portrait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G11" sqref="G1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865</v>
      </c>
      <c r="B1" s="1"/>
      <c r="C1" s="1"/>
      <c r="D1" s="1" t="s">
        <v>860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6376</v>
      </c>
      <c r="B5" s="25" t="s">
        <v>148</v>
      </c>
      <c r="C5" s="32">
        <v>180</v>
      </c>
      <c r="D5" s="7">
        <v>2757</v>
      </c>
      <c r="E5" s="7">
        <f>C5*D5</f>
        <v>496260</v>
      </c>
      <c r="F5" s="7" t="s">
        <v>570</v>
      </c>
    </row>
    <row r="6" spans="3:10">
      <c r="C6" s="8" t="s">
        <v>18</v>
      </c>
      <c r="D6" s="8"/>
      <c r="E6" s="7">
        <f>SUM(E5:E5)</f>
        <v>496260</v>
      </c>
      <c r="I6" s="31"/>
      <c r="J6" s="31"/>
    </row>
    <row r="13" spans="12:12">
      <c r="L13" s="7"/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G15" sqref="G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866</v>
      </c>
      <c r="B1" s="1"/>
      <c r="C1" s="1"/>
      <c r="D1" s="1" t="s">
        <v>860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6376</v>
      </c>
      <c r="B5" s="25" t="s">
        <v>148</v>
      </c>
      <c r="C5" s="32">
        <v>100</v>
      </c>
      <c r="D5" s="7">
        <v>2757</v>
      </c>
      <c r="E5" s="7">
        <f>C5*D5</f>
        <v>275700</v>
      </c>
      <c r="F5" s="7" t="s">
        <v>570</v>
      </c>
    </row>
    <row r="6" spans="3:10">
      <c r="C6" s="8" t="s">
        <v>18</v>
      </c>
      <c r="D6" s="8"/>
      <c r="E6" s="7">
        <f>SUM(E5:E5)</f>
        <v>275700</v>
      </c>
      <c r="I6" s="31"/>
      <c r="J6" s="31"/>
    </row>
    <row r="13" spans="12:12">
      <c r="L13" s="7"/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workbookViewId="0">
      <selection activeCell="F13" sqref="F1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867</v>
      </c>
      <c r="B1" s="1"/>
      <c r="C1" s="1"/>
      <c r="D1" s="1" t="s">
        <v>860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32">
        <v>6706</v>
      </c>
      <c r="B5" s="32" t="s">
        <v>87</v>
      </c>
      <c r="C5" s="32">
        <v>600</v>
      </c>
      <c r="D5" s="32">
        <v>1.2</v>
      </c>
      <c r="E5" s="32">
        <v>720</v>
      </c>
      <c r="F5" s="32" t="s">
        <v>667</v>
      </c>
    </row>
    <row r="6" spans="1:6">
      <c r="A6" s="32">
        <v>6555</v>
      </c>
      <c r="B6" s="32" t="s">
        <v>111</v>
      </c>
      <c r="C6" s="32">
        <v>560</v>
      </c>
      <c r="D6" s="32">
        <v>1.2</v>
      </c>
      <c r="E6" s="32">
        <v>672</v>
      </c>
      <c r="F6" s="32" t="s">
        <v>655</v>
      </c>
    </row>
    <row r="7" spans="3:10">
      <c r="C7" s="8" t="s">
        <v>18</v>
      </c>
      <c r="D7" s="8"/>
      <c r="E7" s="8">
        <f>SUM(E5:E6)</f>
        <v>1392</v>
      </c>
      <c r="I7" s="31"/>
      <c r="J7" s="31"/>
    </row>
    <row r="11" spans="15:20">
      <c r="O11" s="14"/>
      <c r="P11" s="14"/>
      <c r="Q11" s="14"/>
      <c r="R11" s="14"/>
      <c r="S11" s="14"/>
      <c r="T11" s="14"/>
    </row>
    <row r="12" spans="15:20">
      <c r="O12" s="15"/>
      <c r="P12" s="15"/>
      <c r="Q12" s="15"/>
      <c r="R12" s="15"/>
      <c r="S12" s="15"/>
      <c r="T12" s="15"/>
    </row>
    <row r="13" spans="15:20">
      <c r="O13" s="15"/>
      <c r="P13" s="15"/>
      <c r="Q13" s="15"/>
      <c r="R13" s="15"/>
      <c r="S13" s="15"/>
      <c r="T13" s="15"/>
    </row>
    <row r="14" spans="12:20">
      <c r="L14" s="7"/>
      <c r="O14" s="33"/>
      <c r="P14" s="15"/>
      <c r="Q14" s="33"/>
      <c r="R14" s="15"/>
      <c r="S14" s="33"/>
      <c r="T14" s="15"/>
    </row>
    <row r="23" spans="15:16">
      <c r="O23" s="14"/>
      <c r="P23" s="14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I15" sqref="I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868</v>
      </c>
      <c r="B1" s="1"/>
      <c r="C1" s="1"/>
      <c r="D1" s="1" t="s">
        <v>860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6552</v>
      </c>
      <c r="B5" s="7" t="s">
        <v>113</v>
      </c>
      <c r="C5" s="7">
        <v>560</v>
      </c>
      <c r="D5" s="7">
        <v>1.2</v>
      </c>
      <c r="E5" s="7">
        <f>C5*D5</f>
        <v>672</v>
      </c>
      <c r="F5" s="7" t="s">
        <v>655</v>
      </c>
    </row>
    <row r="6" spans="3:10">
      <c r="C6" s="8" t="s">
        <v>18</v>
      </c>
      <c r="D6" s="8"/>
      <c r="E6" s="7">
        <f>SUM(E5:E5)</f>
        <v>672</v>
      </c>
      <c r="I6" s="31"/>
      <c r="J6" s="31"/>
    </row>
    <row r="13" spans="12:12">
      <c r="L13" s="7"/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G16" sqref="G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869</v>
      </c>
      <c r="B1" s="1"/>
      <c r="C1" s="1"/>
      <c r="D1" s="1" t="s">
        <v>860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49</v>
      </c>
      <c r="B5" s="7" t="s">
        <v>148</v>
      </c>
      <c r="C5" s="7">
        <v>120</v>
      </c>
      <c r="D5" s="7">
        <v>2757</v>
      </c>
      <c r="E5" s="7">
        <f>C5*D5</f>
        <v>330840</v>
      </c>
      <c r="F5" s="7" t="s">
        <v>49</v>
      </c>
    </row>
    <row r="6" spans="3:10">
      <c r="C6" s="8" t="s">
        <v>18</v>
      </c>
      <c r="D6" s="8"/>
      <c r="E6" s="7">
        <f>SUM(E5:E5)</f>
        <v>330840</v>
      </c>
      <c r="I6" s="31"/>
      <c r="J6" s="31"/>
    </row>
    <row r="13" spans="12:12">
      <c r="L13" s="7"/>
    </row>
    <row r="19" spans="9:9">
      <c r="I19" s="7">
        <f>SUM(I18:I18)</f>
        <v>0</v>
      </c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F15" sqref="F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870</v>
      </c>
      <c r="B1" s="1"/>
      <c r="C1" s="1"/>
      <c r="D1" s="1" t="s">
        <v>860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6810</v>
      </c>
      <c r="B5" s="7" t="s">
        <v>296</v>
      </c>
      <c r="C5" s="7">
        <v>20</v>
      </c>
      <c r="D5" s="7">
        <v>2757</v>
      </c>
      <c r="E5" s="7">
        <f>C5*D5</f>
        <v>55140</v>
      </c>
      <c r="F5" s="7" t="s">
        <v>655</v>
      </c>
    </row>
    <row r="6" spans="3:10">
      <c r="C6" s="8" t="s">
        <v>18</v>
      </c>
      <c r="D6" s="8"/>
      <c r="E6" s="7">
        <f>SUM(E5:E5)</f>
        <v>55140</v>
      </c>
      <c r="I6" s="31"/>
      <c r="J6" s="31"/>
    </row>
    <row r="13" spans="12:12">
      <c r="L13" s="7"/>
    </row>
    <row r="19" spans="9:9">
      <c r="I19" s="7"/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I16" sqref="I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871</v>
      </c>
      <c r="B1" s="1"/>
      <c r="C1" s="1"/>
      <c r="D1" s="1" t="s">
        <v>860</v>
      </c>
      <c r="E1" s="1"/>
      <c r="F1" s="1"/>
    </row>
    <row r="2" spans="1:6">
      <c r="A2" s="2" t="s">
        <v>778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6660</v>
      </c>
      <c r="B5" s="7" t="s">
        <v>168</v>
      </c>
      <c r="C5" s="7">
        <v>20</v>
      </c>
      <c r="D5" s="7">
        <v>1.2</v>
      </c>
      <c r="E5" s="7">
        <f>C5*D5</f>
        <v>24</v>
      </c>
      <c r="F5" s="7" t="s">
        <v>718</v>
      </c>
    </row>
    <row r="6" spans="1:6">
      <c r="A6" s="7">
        <v>6664</v>
      </c>
      <c r="B6" s="7" t="s">
        <v>171</v>
      </c>
      <c r="C6" s="7">
        <v>20</v>
      </c>
      <c r="D6" s="7">
        <v>1.2</v>
      </c>
      <c r="E6" s="7">
        <f t="shared" ref="E6:E13" si="0">C6*D6</f>
        <v>24</v>
      </c>
      <c r="F6" s="7" t="s">
        <v>718</v>
      </c>
    </row>
    <row r="7" spans="1:6">
      <c r="A7" s="7">
        <v>6661</v>
      </c>
      <c r="B7" s="7" t="s">
        <v>170</v>
      </c>
      <c r="C7" s="7">
        <v>20</v>
      </c>
      <c r="D7" s="7">
        <v>1.2</v>
      </c>
      <c r="E7" s="7">
        <f t="shared" si="0"/>
        <v>24</v>
      </c>
      <c r="F7" s="7" t="s">
        <v>718</v>
      </c>
    </row>
    <row r="8" spans="1:6">
      <c r="A8" s="7">
        <v>6657</v>
      </c>
      <c r="B8" s="7" t="s">
        <v>179</v>
      </c>
      <c r="C8" s="7">
        <v>20</v>
      </c>
      <c r="D8" s="7">
        <v>1.2</v>
      </c>
      <c r="E8" s="7">
        <f t="shared" si="0"/>
        <v>24</v>
      </c>
      <c r="F8" s="7" t="s">
        <v>718</v>
      </c>
    </row>
    <row r="9" spans="1:6">
      <c r="A9" s="7">
        <v>6658</v>
      </c>
      <c r="B9" s="7" t="s">
        <v>106</v>
      </c>
      <c r="C9" s="7">
        <v>20</v>
      </c>
      <c r="D9" s="7">
        <v>1.2</v>
      </c>
      <c r="E9" s="7">
        <f t="shared" si="0"/>
        <v>24</v>
      </c>
      <c r="F9" s="7" t="s">
        <v>718</v>
      </c>
    </row>
    <row r="10" spans="1:6">
      <c r="A10" s="7">
        <v>6659</v>
      </c>
      <c r="B10" s="7" t="s">
        <v>105</v>
      </c>
      <c r="C10" s="7">
        <v>20</v>
      </c>
      <c r="D10" s="7">
        <v>1.2</v>
      </c>
      <c r="E10" s="7">
        <f t="shared" si="0"/>
        <v>24</v>
      </c>
      <c r="F10" s="7" t="s">
        <v>718</v>
      </c>
    </row>
    <row r="11" spans="1:6">
      <c r="A11" s="7">
        <v>6656</v>
      </c>
      <c r="B11" s="7" t="s">
        <v>176</v>
      </c>
      <c r="C11" s="7">
        <v>20</v>
      </c>
      <c r="D11" s="7">
        <v>1.2</v>
      </c>
      <c r="E11" s="7">
        <f t="shared" si="0"/>
        <v>24</v>
      </c>
      <c r="F11" s="7" t="s">
        <v>718</v>
      </c>
    </row>
    <row r="12" spans="1:6">
      <c r="A12" s="7">
        <v>6663</v>
      </c>
      <c r="B12" s="7" t="s">
        <v>94</v>
      </c>
      <c r="C12" s="7">
        <v>20</v>
      </c>
      <c r="D12" s="7">
        <v>1.2</v>
      </c>
      <c r="E12" s="7">
        <f t="shared" si="0"/>
        <v>24</v>
      </c>
      <c r="F12" s="7" t="s">
        <v>718</v>
      </c>
    </row>
    <row r="13" spans="1:6">
      <c r="A13" s="7">
        <v>6662</v>
      </c>
      <c r="B13" s="7" t="s">
        <v>169</v>
      </c>
      <c r="C13" s="7">
        <v>20</v>
      </c>
      <c r="D13" s="7">
        <v>1.2</v>
      </c>
      <c r="E13" s="7">
        <f t="shared" si="0"/>
        <v>24</v>
      </c>
      <c r="F13" s="7" t="s">
        <v>718</v>
      </c>
    </row>
    <row r="14" spans="3:10">
      <c r="C14" s="8" t="s">
        <v>18</v>
      </c>
      <c r="D14" s="8"/>
      <c r="E14" s="7">
        <f>SUM(E5:E13)</f>
        <v>216</v>
      </c>
      <c r="I14" s="31"/>
      <c r="J14" s="31"/>
    </row>
    <row r="21" spans="12:12">
      <c r="L21" s="7"/>
    </row>
    <row r="27" spans="9:9">
      <c r="I27" s="7"/>
    </row>
    <row r="30" spans="15:16">
      <c r="O30" s="14"/>
      <c r="P30" s="14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  <row r="36" spans="15:16">
      <c r="O36" s="15"/>
      <c r="P36" s="15"/>
    </row>
    <row r="37" spans="15:16">
      <c r="O37" s="15"/>
      <c r="P37" s="15"/>
    </row>
    <row r="38" spans="15:16">
      <c r="O38" s="15"/>
      <c r="P38" s="15"/>
    </row>
    <row r="39" spans="15:16">
      <c r="O39" s="15"/>
      <c r="P39" s="15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pageSetup paperSize="9" orientation="portrait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F7" sqref="F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872</v>
      </c>
      <c r="B1" s="1"/>
      <c r="C1" s="1"/>
      <c r="D1" s="1" t="s">
        <v>860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833</v>
      </c>
      <c r="B5" s="7" t="s">
        <v>873</v>
      </c>
      <c r="C5" s="7">
        <v>20</v>
      </c>
      <c r="D5" s="7">
        <v>2744</v>
      </c>
      <c r="E5" s="7">
        <f>C5*D5</f>
        <v>54880</v>
      </c>
      <c r="F5" s="7" t="s">
        <v>49</v>
      </c>
    </row>
    <row r="6" spans="3:10">
      <c r="C6" s="8" t="s">
        <v>18</v>
      </c>
      <c r="D6" s="8"/>
      <c r="E6" s="7">
        <f>SUM(E5:E5)</f>
        <v>54880</v>
      </c>
      <c r="I6" s="31"/>
      <c r="J6" s="31"/>
    </row>
    <row r="13" spans="12:12">
      <c r="L13" s="7"/>
    </row>
    <row r="19" spans="9:9">
      <c r="I19" s="7"/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H19" sqref="H1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874</v>
      </c>
      <c r="B1" s="1"/>
      <c r="C1" s="1"/>
      <c r="D1" s="1" t="s">
        <v>860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833</v>
      </c>
      <c r="B5" s="7" t="s">
        <v>504</v>
      </c>
      <c r="C5" s="7">
        <v>20</v>
      </c>
      <c r="D5" s="7">
        <v>2704</v>
      </c>
      <c r="E5" s="7">
        <f>C5*D5</f>
        <v>54080</v>
      </c>
      <c r="F5" s="7" t="s">
        <v>49</v>
      </c>
    </row>
    <row r="6" spans="3:10">
      <c r="C6" s="8" t="s">
        <v>18</v>
      </c>
      <c r="D6" s="8"/>
      <c r="E6" s="7">
        <f>SUM(E5:E5)</f>
        <v>54080</v>
      </c>
      <c r="I6" s="31"/>
      <c r="J6" s="31"/>
    </row>
    <row r="13" spans="12:12">
      <c r="L13" s="7"/>
    </row>
    <row r="19" spans="9:9">
      <c r="I19" s="7"/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workbookViewId="0">
      <selection activeCell="A1" sqref="A1:F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875</v>
      </c>
      <c r="B1" s="1"/>
      <c r="C1" s="1"/>
      <c r="D1" s="1" t="s">
        <v>860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6874</v>
      </c>
      <c r="B5" s="7" t="s">
        <v>355</v>
      </c>
      <c r="C5" s="7">
        <v>380</v>
      </c>
      <c r="D5" s="7">
        <v>2710</v>
      </c>
      <c r="E5" s="7">
        <f>C5*D5</f>
        <v>1029800</v>
      </c>
      <c r="F5" s="22" t="s">
        <v>655</v>
      </c>
    </row>
    <row r="6" spans="1:6">
      <c r="A6" s="7">
        <v>6873</v>
      </c>
      <c r="B6" s="7" t="s">
        <v>245</v>
      </c>
      <c r="C6" s="7">
        <v>380</v>
      </c>
      <c r="D6" s="7">
        <v>2710</v>
      </c>
      <c r="E6" s="7">
        <f>C6*D6</f>
        <v>1029800</v>
      </c>
      <c r="F6" s="22" t="s">
        <v>655</v>
      </c>
    </row>
    <row r="7" spans="1:6">
      <c r="A7" s="7">
        <v>6875</v>
      </c>
      <c r="B7" s="7" t="s">
        <v>356</v>
      </c>
      <c r="C7" s="7">
        <v>380</v>
      </c>
      <c r="D7" s="7">
        <v>2710</v>
      </c>
      <c r="E7" s="7">
        <f>C7*D7</f>
        <v>1029800</v>
      </c>
      <c r="F7" s="22" t="s">
        <v>655</v>
      </c>
    </row>
    <row r="8" spans="3:10">
      <c r="C8" s="8" t="s">
        <v>18</v>
      </c>
      <c r="D8" s="8"/>
      <c r="E8" s="7">
        <f>SUM(E5:E7)</f>
        <v>3089400</v>
      </c>
      <c r="F8" s="22"/>
      <c r="I8" s="31"/>
      <c r="J8" s="31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3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2"/>
    </row>
    <row r="18" spans="9:12">
      <c r="I18" s="12"/>
      <c r="J18" s="12"/>
      <c r="K18" s="12"/>
      <c r="L18" s="12"/>
    </row>
    <row r="19" spans="9:12">
      <c r="I19" s="12"/>
      <c r="J19" s="12"/>
      <c r="K19" s="12"/>
      <c r="L19" s="12"/>
    </row>
    <row r="20" spans="9:12">
      <c r="I20" s="12"/>
      <c r="J20" s="12"/>
      <c r="K20" s="12"/>
      <c r="L20" s="12"/>
    </row>
    <row r="21" spans="9:12">
      <c r="I21" s="13"/>
      <c r="J21" s="12"/>
      <c r="K21" s="12"/>
      <c r="L21" s="12"/>
    </row>
    <row r="24" spans="15:16">
      <c r="O24" s="14"/>
      <c r="P24" s="14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G22" sqref="G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876</v>
      </c>
      <c r="B1" s="1"/>
      <c r="C1" s="1"/>
      <c r="D1" s="1" t="s">
        <v>877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6698</v>
      </c>
      <c r="B5" s="7" t="s">
        <v>305</v>
      </c>
      <c r="C5" s="7">
        <v>85</v>
      </c>
      <c r="D5" s="7">
        <v>2710</v>
      </c>
      <c r="E5" s="7">
        <f>C5*D5</f>
        <v>230350</v>
      </c>
      <c r="F5" s="22" t="s">
        <v>667</v>
      </c>
    </row>
    <row r="6" spans="3:10">
      <c r="C6" s="8" t="s">
        <v>18</v>
      </c>
      <c r="D6" s="8"/>
      <c r="E6" s="7">
        <f>SUM(E5:E5)</f>
        <v>230350</v>
      </c>
      <c r="F6" s="22"/>
      <c r="I6" s="31"/>
      <c r="J6" s="31"/>
    </row>
    <row r="12" spans="9:12">
      <c r="I12" s="12"/>
      <c r="J12" s="12"/>
      <c r="K12" s="12"/>
      <c r="L12" s="12"/>
    </row>
    <row r="13" spans="9:12">
      <c r="I13" s="12"/>
      <c r="J13" s="12"/>
      <c r="K13" s="12"/>
      <c r="L13" s="13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2"/>
    </row>
    <row r="18" spans="9:12">
      <c r="I18" s="12"/>
      <c r="J18" s="12"/>
      <c r="K18" s="12"/>
      <c r="L18" s="12"/>
    </row>
    <row r="19" spans="9:12">
      <c r="I19" s="13"/>
      <c r="J19" s="12"/>
      <c r="K19" s="12"/>
      <c r="L19" s="12"/>
    </row>
    <row r="22" spans="15:16">
      <c r="O22" s="14"/>
      <c r="P22" s="14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selection activeCell="I20" sqref="I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878</v>
      </c>
      <c r="B1" s="1"/>
      <c r="C1" s="1"/>
      <c r="D1" s="1" t="s">
        <v>877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6874</v>
      </c>
      <c r="B5" s="7" t="s">
        <v>355</v>
      </c>
      <c r="C5" s="7">
        <v>500</v>
      </c>
      <c r="D5" s="7">
        <v>2757</v>
      </c>
      <c r="E5" s="7">
        <f t="shared" ref="E5:E10" si="0">C5*D5</f>
        <v>1378500</v>
      </c>
      <c r="F5" s="22" t="s">
        <v>655</v>
      </c>
    </row>
    <row r="6" spans="1:10">
      <c r="A6" s="7">
        <v>6873</v>
      </c>
      <c r="B6" s="7" t="s">
        <v>245</v>
      </c>
      <c r="C6" s="7">
        <v>500</v>
      </c>
      <c r="D6" s="7">
        <v>2757</v>
      </c>
      <c r="E6" s="7">
        <f t="shared" si="0"/>
        <v>1378500</v>
      </c>
      <c r="F6" s="22" t="s">
        <v>655</v>
      </c>
      <c r="I6" s="31"/>
      <c r="J6" s="31"/>
    </row>
    <row r="7" spans="1:10">
      <c r="A7" s="7">
        <v>6875</v>
      </c>
      <c r="B7" s="7" t="s">
        <v>356</v>
      </c>
      <c r="C7" s="7">
        <v>500</v>
      </c>
      <c r="D7" s="7">
        <v>2757</v>
      </c>
      <c r="E7" s="7">
        <f t="shared" si="0"/>
        <v>1378500</v>
      </c>
      <c r="F7" s="22" t="s">
        <v>655</v>
      </c>
      <c r="I7" s="28"/>
      <c r="J7" s="28"/>
    </row>
    <row r="8" spans="1:10">
      <c r="A8" s="7">
        <v>6573</v>
      </c>
      <c r="B8" s="7" t="s">
        <v>240</v>
      </c>
      <c r="C8" s="7">
        <v>450</v>
      </c>
      <c r="D8" s="7">
        <v>2757</v>
      </c>
      <c r="E8" s="7">
        <f t="shared" si="0"/>
        <v>1240650</v>
      </c>
      <c r="F8" s="22" t="s">
        <v>655</v>
      </c>
      <c r="I8" s="28"/>
      <c r="J8" s="28"/>
    </row>
    <row r="9" spans="1:10">
      <c r="A9" s="7">
        <v>6891</v>
      </c>
      <c r="B9" s="7" t="s">
        <v>461</v>
      </c>
      <c r="C9" s="7">
        <v>450</v>
      </c>
      <c r="D9" s="7">
        <v>2757</v>
      </c>
      <c r="E9" s="7">
        <f t="shared" si="0"/>
        <v>1240650</v>
      </c>
      <c r="F9" s="22" t="s">
        <v>655</v>
      </c>
      <c r="I9" s="28"/>
      <c r="J9" s="28"/>
    </row>
    <row r="10" spans="1:10">
      <c r="A10" s="7">
        <v>6896</v>
      </c>
      <c r="B10" s="7" t="s">
        <v>879</v>
      </c>
      <c r="C10" s="7">
        <v>450</v>
      </c>
      <c r="D10" s="7">
        <v>2757</v>
      </c>
      <c r="E10" s="29">
        <f t="shared" si="0"/>
        <v>1240650</v>
      </c>
      <c r="F10" s="30" t="s">
        <v>655</v>
      </c>
      <c r="I10" s="28"/>
      <c r="J10" s="28"/>
    </row>
    <row r="11" spans="3:6">
      <c r="C11" s="8" t="s">
        <v>18</v>
      </c>
      <c r="D11" s="9"/>
      <c r="E11" s="7">
        <f>SUM(E5:E10)</f>
        <v>7857450</v>
      </c>
      <c r="F11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3"/>
    </row>
    <row r="17" spans="9:12">
      <c r="I17" s="12"/>
      <c r="J17" s="12"/>
      <c r="K17" s="12"/>
      <c r="L17" s="12"/>
    </row>
    <row r="18" spans="9:12">
      <c r="I18" s="12"/>
      <c r="J18" s="12"/>
      <c r="K18" s="12"/>
      <c r="L18" s="12"/>
    </row>
    <row r="19" spans="9:12">
      <c r="I19" s="12"/>
      <c r="J19" s="12"/>
      <c r="K19" s="12"/>
      <c r="L19" s="12"/>
    </row>
    <row r="20" spans="9:12">
      <c r="I20" s="12"/>
      <c r="J20" s="12"/>
      <c r="K20" s="12"/>
      <c r="L20" s="12"/>
    </row>
    <row r="21" spans="9:12">
      <c r="I21" s="12"/>
      <c r="J21" s="12"/>
      <c r="K21" s="12"/>
      <c r="L21" s="12"/>
    </row>
    <row r="22" spans="9:12">
      <c r="I22" s="13"/>
      <c r="J22" s="12"/>
      <c r="K22" s="12"/>
      <c r="L22" s="12"/>
    </row>
    <row r="25" spans="15:16">
      <c r="O25" s="14"/>
      <c r="P25" s="14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</sheetData>
  <mergeCells count="6">
    <mergeCell ref="A1:C1"/>
    <mergeCell ref="D1:F1"/>
    <mergeCell ref="A2:C2"/>
    <mergeCell ref="D2:F2"/>
    <mergeCell ref="A3:F3"/>
    <mergeCell ref="C11:D11"/>
  </mergeCells>
  <pageMargins left="0.7" right="0.7" top="0.75" bottom="0.75" header="0.3" footer="0.3"/>
  <pageSetup paperSize="9" orientation="portrait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G15" sqref="G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880</v>
      </c>
      <c r="B1" s="1"/>
      <c r="C1" s="1"/>
      <c r="D1" s="1" t="s">
        <v>877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0">
      <c r="A5" s="7">
        <v>6891</v>
      </c>
      <c r="B5" s="7" t="s">
        <v>461</v>
      </c>
      <c r="C5" s="7">
        <v>430</v>
      </c>
      <c r="D5" s="7">
        <v>2710</v>
      </c>
      <c r="E5" s="7">
        <f>C5*D5</f>
        <v>1165300</v>
      </c>
      <c r="F5" s="22" t="s">
        <v>655</v>
      </c>
      <c r="I5" s="28"/>
      <c r="J5" s="28"/>
    </row>
    <row r="6" spans="1:10">
      <c r="A6" s="7">
        <v>6896</v>
      </c>
      <c r="B6" s="7" t="s">
        <v>879</v>
      </c>
      <c r="C6" s="7">
        <v>430</v>
      </c>
      <c r="D6" s="7">
        <v>2710</v>
      </c>
      <c r="E6" s="29">
        <f>C6*D6</f>
        <v>1165300</v>
      </c>
      <c r="F6" s="30" t="s">
        <v>655</v>
      </c>
      <c r="I6" s="28"/>
      <c r="J6" s="28"/>
    </row>
    <row r="7" spans="3:6">
      <c r="C7" s="8" t="s">
        <v>18</v>
      </c>
      <c r="D7" s="9"/>
      <c r="E7" s="7">
        <f>SUM(E5:E6)</f>
        <v>2330600</v>
      </c>
      <c r="F7" s="12"/>
    </row>
    <row r="11" spans="9:12">
      <c r="I11" s="12"/>
      <c r="J11" s="12"/>
      <c r="K11" s="12"/>
      <c r="L11" s="12"/>
    </row>
    <row r="12" spans="9:12">
      <c r="I12" s="12"/>
      <c r="J12" s="12"/>
      <c r="K12" s="12"/>
      <c r="L12" s="13"/>
    </row>
    <row r="13" spans="9:12"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2"/>
    </row>
    <row r="18" spans="9:12">
      <c r="I18" s="13"/>
      <c r="J18" s="12"/>
      <c r="K18" s="12"/>
      <c r="L18" s="12"/>
    </row>
    <row r="21" spans="15:16">
      <c r="O21" s="14"/>
      <c r="P21" s="14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F5" sqref="A5:D5 F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881</v>
      </c>
      <c r="B1" s="1"/>
      <c r="C1" s="1"/>
      <c r="D1" s="1" t="s">
        <v>877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10">
      <c r="A5" s="7" t="s">
        <v>49</v>
      </c>
      <c r="B5" s="7" t="s">
        <v>882</v>
      </c>
      <c r="C5" s="7">
        <v>60</v>
      </c>
      <c r="D5" s="7">
        <v>2729</v>
      </c>
      <c r="E5" s="7">
        <f>C5*D5</f>
        <v>163740</v>
      </c>
      <c r="F5" s="22" t="s">
        <v>49</v>
      </c>
      <c r="I5" s="28"/>
      <c r="J5" s="28"/>
    </row>
    <row r="6" spans="3:6">
      <c r="C6" s="8" t="s">
        <v>18</v>
      </c>
      <c r="D6" s="9"/>
      <c r="E6" s="7">
        <f>SUM(E5:E5)</f>
        <v>163740</v>
      </c>
      <c r="F6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3"/>
    </row>
    <row r="12" spans="9:12">
      <c r="I12" s="12"/>
      <c r="J12" s="12"/>
      <c r="K12" s="12"/>
      <c r="L12" s="12"/>
    </row>
    <row r="13" spans="9:12"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workbookViewId="0">
      <selection activeCell="I10" sqref="I1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883</v>
      </c>
      <c r="B1" s="1"/>
      <c r="C1" s="1"/>
      <c r="D1" s="1" t="s">
        <v>877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6618</v>
      </c>
      <c r="B5" s="7" t="s">
        <v>691</v>
      </c>
      <c r="C5" s="7">
        <v>100</v>
      </c>
      <c r="D5" s="7">
        <v>2875</v>
      </c>
      <c r="E5" s="7">
        <f>D5*C5</f>
        <v>287500</v>
      </c>
      <c r="F5" s="7" t="s">
        <v>570</v>
      </c>
    </row>
    <row r="6" spans="1:6">
      <c r="A6" s="7">
        <v>6673</v>
      </c>
      <c r="B6" s="7" t="s">
        <v>122</v>
      </c>
      <c r="C6" s="7">
        <v>100</v>
      </c>
      <c r="D6" s="7">
        <v>2875</v>
      </c>
      <c r="E6" s="7">
        <f t="shared" ref="E6:E23" si="0">D6*C6</f>
        <v>287500</v>
      </c>
      <c r="F6" s="7" t="s">
        <v>570</v>
      </c>
    </row>
    <row r="7" spans="1:6">
      <c r="A7" s="7">
        <v>6729</v>
      </c>
      <c r="B7" s="7" t="s">
        <v>202</v>
      </c>
      <c r="C7" s="7">
        <v>100</v>
      </c>
      <c r="D7" s="7">
        <v>2875</v>
      </c>
      <c r="E7" s="7">
        <f t="shared" si="0"/>
        <v>287500</v>
      </c>
      <c r="F7" s="7" t="s">
        <v>570</v>
      </c>
    </row>
    <row r="8" spans="1:6">
      <c r="A8" s="7">
        <v>6616</v>
      </c>
      <c r="B8" s="7" t="s">
        <v>690</v>
      </c>
      <c r="C8" s="7">
        <v>100</v>
      </c>
      <c r="D8" s="7">
        <v>2875</v>
      </c>
      <c r="E8" s="7">
        <f t="shared" si="0"/>
        <v>287500</v>
      </c>
      <c r="F8" s="7" t="s">
        <v>570</v>
      </c>
    </row>
    <row r="9" spans="1:6">
      <c r="A9" s="18">
        <v>6835</v>
      </c>
      <c r="B9" s="7" t="s">
        <v>275</v>
      </c>
      <c r="C9" s="7">
        <v>100</v>
      </c>
      <c r="D9" s="7">
        <v>2875</v>
      </c>
      <c r="E9" s="7">
        <f t="shared" si="0"/>
        <v>287500</v>
      </c>
      <c r="F9" s="7" t="s">
        <v>570</v>
      </c>
    </row>
    <row r="10" spans="1:6">
      <c r="A10" s="7">
        <v>6675</v>
      </c>
      <c r="B10" s="7" t="s">
        <v>121</v>
      </c>
      <c r="C10" s="7">
        <v>100</v>
      </c>
      <c r="D10" s="7">
        <v>2875</v>
      </c>
      <c r="E10" s="7">
        <f t="shared" si="0"/>
        <v>287500</v>
      </c>
      <c r="F10" s="7" t="s">
        <v>570</v>
      </c>
    </row>
    <row r="11" spans="1:6">
      <c r="A11" s="7">
        <v>6681</v>
      </c>
      <c r="B11" s="7" t="s">
        <v>178</v>
      </c>
      <c r="C11" s="7">
        <v>100</v>
      </c>
      <c r="D11" s="7">
        <v>2875</v>
      </c>
      <c r="E11" s="7">
        <f t="shared" si="0"/>
        <v>287500</v>
      </c>
      <c r="F11" s="7" t="s">
        <v>570</v>
      </c>
    </row>
    <row r="12" spans="1:6">
      <c r="A12" s="7">
        <v>6676</v>
      </c>
      <c r="B12" s="7" t="s">
        <v>123</v>
      </c>
      <c r="C12" s="7">
        <v>100</v>
      </c>
      <c r="D12" s="7">
        <v>2875</v>
      </c>
      <c r="E12" s="7">
        <f t="shared" si="0"/>
        <v>287500</v>
      </c>
      <c r="F12" s="7" t="s">
        <v>570</v>
      </c>
    </row>
    <row r="13" spans="1:6">
      <c r="A13" s="7">
        <v>6680</v>
      </c>
      <c r="B13" s="7" t="s">
        <v>209</v>
      </c>
      <c r="C13" s="7">
        <v>100</v>
      </c>
      <c r="D13" s="7">
        <v>2875</v>
      </c>
      <c r="E13" s="7">
        <f t="shared" si="0"/>
        <v>287500</v>
      </c>
      <c r="F13" s="7" t="s">
        <v>570</v>
      </c>
    </row>
    <row r="14" spans="1:6">
      <c r="A14" s="7">
        <v>6772</v>
      </c>
      <c r="B14" s="17" t="s">
        <v>618</v>
      </c>
      <c r="C14" s="7">
        <v>100</v>
      </c>
      <c r="D14" s="7">
        <v>2875</v>
      </c>
      <c r="E14" s="7">
        <f t="shared" si="0"/>
        <v>287500</v>
      </c>
      <c r="F14" s="7" t="s">
        <v>570</v>
      </c>
    </row>
    <row r="15" spans="1:6">
      <c r="A15" s="7">
        <v>6773</v>
      </c>
      <c r="B15" s="7" t="s">
        <v>619</v>
      </c>
      <c r="C15" s="7">
        <v>100</v>
      </c>
      <c r="D15" s="7">
        <v>2875</v>
      </c>
      <c r="E15" s="7">
        <f t="shared" si="0"/>
        <v>287500</v>
      </c>
      <c r="F15" s="7" t="s">
        <v>570</v>
      </c>
    </row>
    <row r="16" spans="1:6">
      <c r="A16" s="7">
        <v>6730</v>
      </c>
      <c r="B16" s="7" t="s">
        <v>204</v>
      </c>
      <c r="C16" s="7">
        <v>100</v>
      </c>
      <c r="D16" s="7">
        <v>2875</v>
      </c>
      <c r="E16" s="7">
        <f t="shared" si="0"/>
        <v>287500</v>
      </c>
      <c r="F16" s="7" t="s">
        <v>570</v>
      </c>
    </row>
    <row r="17" spans="1:6">
      <c r="A17" s="7">
        <v>6682</v>
      </c>
      <c r="B17" s="7" t="s">
        <v>177</v>
      </c>
      <c r="C17" s="7">
        <v>100</v>
      </c>
      <c r="D17" s="7">
        <v>2875</v>
      </c>
      <c r="E17" s="7">
        <f t="shared" si="0"/>
        <v>287500</v>
      </c>
      <c r="F17" s="7" t="s">
        <v>570</v>
      </c>
    </row>
    <row r="18" spans="1:6">
      <c r="A18" s="7">
        <v>6511</v>
      </c>
      <c r="B18" s="7" t="s">
        <v>621</v>
      </c>
      <c r="C18" s="7">
        <v>100</v>
      </c>
      <c r="D18" s="7">
        <v>2875</v>
      </c>
      <c r="E18" s="7">
        <f t="shared" si="0"/>
        <v>287500</v>
      </c>
      <c r="F18" s="7" t="s">
        <v>570</v>
      </c>
    </row>
    <row r="19" spans="1:6">
      <c r="A19" s="7">
        <v>6679</v>
      </c>
      <c r="B19" s="7" t="s">
        <v>175</v>
      </c>
      <c r="C19" s="7">
        <v>100</v>
      </c>
      <c r="D19" s="7">
        <v>2875</v>
      </c>
      <c r="E19" s="7">
        <f t="shared" si="0"/>
        <v>287500</v>
      </c>
      <c r="F19" s="7" t="s">
        <v>570</v>
      </c>
    </row>
    <row r="20" spans="1:6">
      <c r="A20" s="7">
        <v>6668</v>
      </c>
      <c r="B20" s="7" t="s">
        <v>779</v>
      </c>
      <c r="C20" s="7">
        <v>100</v>
      </c>
      <c r="D20" s="7">
        <v>2875</v>
      </c>
      <c r="E20" s="7">
        <f t="shared" si="0"/>
        <v>287500</v>
      </c>
      <c r="F20" s="7" t="s">
        <v>570</v>
      </c>
    </row>
    <row r="21" spans="1:6">
      <c r="A21" s="7">
        <v>6774</v>
      </c>
      <c r="B21" s="7" t="s">
        <v>211</v>
      </c>
      <c r="C21" s="7">
        <v>100</v>
      </c>
      <c r="D21" s="7">
        <v>2875</v>
      </c>
      <c r="E21" s="7">
        <f t="shared" si="0"/>
        <v>287500</v>
      </c>
      <c r="F21" s="7" t="s">
        <v>570</v>
      </c>
    </row>
    <row r="22" spans="1:6">
      <c r="A22" s="27">
        <v>6544</v>
      </c>
      <c r="B22" s="7" t="s">
        <v>620</v>
      </c>
      <c r="C22" s="7">
        <v>100</v>
      </c>
      <c r="D22" s="7">
        <v>2875</v>
      </c>
      <c r="E22" s="7">
        <f t="shared" si="0"/>
        <v>287500</v>
      </c>
      <c r="F22" s="7" t="s">
        <v>570</v>
      </c>
    </row>
    <row r="23" spans="1:6">
      <c r="A23" s="27">
        <v>6642</v>
      </c>
      <c r="B23" s="7" t="s">
        <v>884</v>
      </c>
      <c r="C23" s="7">
        <v>100</v>
      </c>
      <c r="D23" s="7">
        <v>2875</v>
      </c>
      <c r="E23" s="7">
        <f t="shared" si="0"/>
        <v>287500</v>
      </c>
      <c r="F23" s="7" t="s">
        <v>570</v>
      </c>
    </row>
    <row r="24" spans="3:6">
      <c r="C24" s="8" t="s">
        <v>18</v>
      </c>
      <c r="D24" s="9"/>
      <c r="E24" s="7">
        <f>SUM(E5:E23)</f>
        <v>5462500</v>
      </c>
      <c r="F24" s="12"/>
    </row>
    <row r="28" spans="9:12">
      <c r="I28" s="12"/>
      <c r="J28" s="12"/>
      <c r="K28" s="12"/>
      <c r="L28" s="12"/>
    </row>
    <row r="29" spans="9:12">
      <c r="I29" s="12"/>
      <c r="J29" s="12"/>
      <c r="K29" s="12"/>
      <c r="L29" s="13"/>
    </row>
    <row r="30" spans="9:12">
      <c r="I30" s="12"/>
      <c r="J30" s="12"/>
      <c r="K30" s="12"/>
      <c r="L30" s="12"/>
    </row>
    <row r="31" spans="9:12">
      <c r="I31" s="12"/>
      <c r="J31" s="12"/>
      <c r="K31" s="12"/>
      <c r="L31" s="12"/>
    </row>
    <row r="32" spans="9:12">
      <c r="I32" s="12"/>
      <c r="J32" s="12"/>
      <c r="K32" s="12"/>
      <c r="L32" s="12"/>
    </row>
    <row r="33" spans="9:12">
      <c r="I33" s="12"/>
      <c r="J33" s="12"/>
      <c r="K33" s="12"/>
      <c r="L33" s="12"/>
    </row>
    <row r="34" spans="9:12">
      <c r="I34" s="12"/>
      <c r="J34" s="12"/>
      <c r="K34" s="12"/>
      <c r="L34" s="12"/>
    </row>
    <row r="35" spans="9:12">
      <c r="I35" s="13"/>
      <c r="J35" s="12"/>
      <c r="K35" s="12"/>
      <c r="L35" s="12"/>
    </row>
    <row r="38" spans="15:16">
      <c r="O38" s="14"/>
      <c r="P38" s="14"/>
    </row>
    <row r="39" spans="15:16">
      <c r="O39" s="15"/>
      <c r="P39" s="15"/>
    </row>
    <row r="40" spans="15:16">
      <c r="O40" s="15"/>
      <c r="P40" s="15"/>
    </row>
    <row r="41" spans="15:16">
      <c r="O41" s="15"/>
      <c r="P41" s="15"/>
    </row>
    <row r="42" spans="15:16">
      <c r="O42" s="15"/>
      <c r="P42" s="15"/>
    </row>
    <row r="43" spans="15:16">
      <c r="O43" s="15"/>
      <c r="P43" s="15"/>
    </row>
    <row r="44" spans="15:16">
      <c r="O44" s="15"/>
      <c r="P44" s="15"/>
    </row>
    <row r="45" spans="15:16">
      <c r="O45" s="15"/>
      <c r="P45" s="15"/>
    </row>
    <row r="46" spans="15:16">
      <c r="O46" s="15"/>
      <c r="P46" s="15"/>
    </row>
    <row r="47" spans="15:16">
      <c r="O47" s="15"/>
      <c r="P47" s="15"/>
    </row>
  </sheetData>
  <mergeCells count="6">
    <mergeCell ref="A1:C1"/>
    <mergeCell ref="D1:F1"/>
    <mergeCell ref="A2:C2"/>
    <mergeCell ref="D2:F2"/>
    <mergeCell ref="A3:F3"/>
    <mergeCell ref="C24:D24"/>
  </mergeCells>
  <pageMargins left="0.7" right="0.7" top="0.75" bottom="0.75" header="0.3" footer="0.3"/>
  <pageSetup paperSize="9" orientation="portrait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workbookViewId="0">
      <selection activeCell="A1" sqref="A1:F2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885</v>
      </c>
      <c r="B1" s="1"/>
      <c r="C1" s="1"/>
      <c r="D1" s="1" t="s">
        <v>877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6618</v>
      </c>
      <c r="B5" s="7" t="s">
        <v>691</v>
      </c>
      <c r="C5" s="7">
        <v>400</v>
      </c>
      <c r="D5" s="7">
        <v>2757</v>
      </c>
      <c r="E5" s="7">
        <f>C5*D5</f>
        <v>1102800</v>
      </c>
      <c r="F5" s="7" t="s">
        <v>570</v>
      </c>
    </row>
    <row r="6" spans="1:6">
      <c r="A6" s="7">
        <v>6673</v>
      </c>
      <c r="B6" s="7" t="s">
        <v>122</v>
      </c>
      <c r="C6" s="7">
        <v>400</v>
      </c>
      <c r="D6" s="7">
        <v>2757</v>
      </c>
      <c r="E6" s="7">
        <f t="shared" ref="E6:E23" si="0">C6*D6</f>
        <v>1102800</v>
      </c>
      <c r="F6" s="7" t="s">
        <v>570</v>
      </c>
    </row>
    <row r="7" spans="1:6">
      <c r="A7" s="7">
        <v>6729</v>
      </c>
      <c r="B7" s="7" t="s">
        <v>202</v>
      </c>
      <c r="C7" s="7">
        <v>400</v>
      </c>
      <c r="D7" s="7">
        <v>2757</v>
      </c>
      <c r="E7" s="7">
        <f t="shared" si="0"/>
        <v>1102800</v>
      </c>
      <c r="F7" s="7" t="s">
        <v>570</v>
      </c>
    </row>
    <row r="8" spans="1:6">
      <c r="A8" s="7">
        <v>6616</v>
      </c>
      <c r="B8" s="7" t="s">
        <v>690</v>
      </c>
      <c r="C8" s="7">
        <v>400</v>
      </c>
      <c r="D8" s="7">
        <v>2757</v>
      </c>
      <c r="E8" s="7">
        <f t="shared" si="0"/>
        <v>1102800</v>
      </c>
      <c r="F8" s="7" t="s">
        <v>570</v>
      </c>
    </row>
    <row r="9" spans="1:6">
      <c r="A9" s="18">
        <v>6835</v>
      </c>
      <c r="B9" s="7" t="s">
        <v>275</v>
      </c>
      <c r="C9" s="7">
        <v>400</v>
      </c>
      <c r="D9" s="7">
        <v>2757</v>
      </c>
      <c r="E9" s="7">
        <f t="shared" si="0"/>
        <v>1102800</v>
      </c>
      <c r="F9" s="7" t="s">
        <v>570</v>
      </c>
    </row>
    <row r="10" spans="1:6">
      <c r="A10" s="7">
        <v>6675</v>
      </c>
      <c r="B10" s="7" t="s">
        <v>121</v>
      </c>
      <c r="C10" s="7">
        <v>400</v>
      </c>
      <c r="D10" s="7">
        <v>2757</v>
      </c>
      <c r="E10" s="7">
        <f t="shared" si="0"/>
        <v>1102800</v>
      </c>
      <c r="F10" s="7" t="s">
        <v>570</v>
      </c>
    </row>
    <row r="11" spans="1:6">
      <c r="A11" s="7">
        <v>6681</v>
      </c>
      <c r="B11" s="7" t="s">
        <v>178</v>
      </c>
      <c r="C11" s="7">
        <v>400</v>
      </c>
      <c r="D11" s="7">
        <v>2757</v>
      </c>
      <c r="E11" s="7">
        <f t="shared" si="0"/>
        <v>1102800</v>
      </c>
      <c r="F11" s="7" t="s">
        <v>570</v>
      </c>
    </row>
    <row r="12" spans="1:6">
      <c r="A12" s="7">
        <v>6676</v>
      </c>
      <c r="B12" s="7" t="s">
        <v>123</v>
      </c>
      <c r="C12" s="7">
        <v>400</v>
      </c>
      <c r="D12" s="7">
        <v>2757</v>
      </c>
      <c r="E12" s="7">
        <f t="shared" si="0"/>
        <v>1102800</v>
      </c>
      <c r="F12" s="7" t="s">
        <v>570</v>
      </c>
    </row>
    <row r="13" spans="1:6">
      <c r="A13" s="7">
        <v>6680</v>
      </c>
      <c r="B13" s="7" t="s">
        <v>209</v>
      </c>
      <c r="C13" s="7">
        <v>400</v>
      </c>
      <c r="D13" s="7">
        <v>2757</v>
      </c>
      <c r="E13" s="7">
        <f t="shared" si="0"/>
        <v>1102800</v>
      </c>
      <c r="F13" s="7" t="s">
        <v>570</v>
      </c>
    </row>
    <row r="14" spans="1:6">
      <c r="A14" s="7">
        <v>6772</v>
      </c>
      <c r="B14" s="20" t="s">
        <v>618</v>
      </c>
      <c r="C14" s="7">
        <v>300</v>
      </c>
      <c r="D14" s="7">
        <v>2757</v>
      </c>
      <c r="E14" s="7">
        <f t="shared" si="0"/>
        <v>827100</v>
      </c>
      <c r="F14" s="7" t="s">
        <v>570</v>
      </c>
    </row>
    <row r="15" spans="1:6">
      <c r="A15" s="7">
        <v>6773</v>
      </c>
      <c r="B15" s="7" t="s">
        <v>619</v>
      </c>
      <c r="C15" s="7">
        <v>300</v>
      </c>
      <c r="D15" s="7">
        <v>2757</v>
      </c>
      <c r="E15" s="7">
        <f t="shared" si="0"/>
        <v>827100</v>
      </c>
      <c r="F15" s="7" t="s">
        <v>570</v>
      </c>
    </row>
    <row r="16" spans="1:6">
      <c r="A16" s="7">
        <v>6730</v>
      </c>
      <c r="B16" s="7" t="s">
        <v>204</v>
      </c>
      <c r="C16" s="7">
        <v>400</v>
      </c>
      <c r="D16" s="7">
        <v>2757</v>
      </c>
      <c r="E16" s="7">
        <f t="shared" si="0"/>
        <v>1102800</v>
      </c>
      <c r="F16" s="7" t="s">
        <v>570</v>
      </c>
    </row>
    <row r="17" spans="1:6">
      <c r="A17" s="7">
        <v>6682</v>
      </c>
      <c r="B17" s="7" t="s">
        <v>177</v>
      </c>
      <c r="C17" s="7">
        <v>400</v>
      </c>
      <c r="D17" s="7">
        <v>2757</v>
      </c>
      <c r="E17" s="7">
        <f t="shared" si="0"/>
        <v>1102800</v>
      </c>
      <c r="F17" s="7" t="s">
        <v>570</v>
      </c>
    </row>
    <row r="18" spans="1:6">
      <c r="A18" s="7">
        <v>6511</v>
      </c>
      <c r="B18" s="7" t="s">
        <v>621</v>
      </c>
      <c r="C18" s="7">
        <v>400</v>
      </c>
      <c r="D18" s="7">
        <v>2757</v>
      </c>
      <c r="E18" s="7">
        <f t="shared" si="0"/>
        <v>1102800</v>
      </c>
      <c r="F18" s="7" t="s">
        <v>570</v>
      </c>
    </row>
    <row r="19" spans="1:6">
      <c r="A19" s="7">
        <v>6679</v>
      </c>
      <c r="B19" s="7" t="s">
        <v>175</v>
      </c>
      <c r="C19" s="7">
        <v>400</v>
      </c>
      <c r="D19" s="7">
        <v>2757</v>
      </c>
      <c r="E19" s="7">
        <f t="shared" si="0"/>
        <v>1102800</v>
      </c>
      <c r="F19" s="7" t="s">
        <v>570</v>
      </c>
    </row>
    <row r="20" spans="1:6">
      <c r="A20" s="7">
        <v>6668</v>
      </c>
      <c r="B20" s="7" t="s">
        <v>779</v>
      </c>
      <c r="C20" s="7">
        <v>400</v>
      </c>
      <c r="D20" s="7">
        <v>2757</v>
      </c>
      <c r="E20" s="7">
        <f t="shared" si="0"/>
        <v>1102800</v>
      </c>
      <c r="F20" s="7" t="s">
        <v>570</v>
      </c>
    </row>
    <row r="21" spans="1:6">
      <c r="A21" s="7">
        <v>6774</v>
      </c>
      <c r="B21" s="7" t="s">
        <v>211</v>
      </c>
      <c r="C21" s="7">
        <v>400</v>
      </c>
      <c r="D21" s="7">
        <v>2757</v>
      </c>
      <c r="E21" s="7">
        <f t="shared" si="0"/>
        <v>1102800</v>
      </c>
      <c r="F21" s="7" t="s">
        <v>570</v>
      </c>
    </row>
    <row r="22" spans="1:6">
      <c r="A22" s="27">
        <v>6544</v>
      </c>
      <c r="B22" s="7" t="s">
        <v>620</v>
      </c>
      <c r="C22" s="7">
        <v>400</v>
      </c>
      <c r="D22" s="7">
        <v>2757</v>
      </c>
      <c r="E22" s="7">
        <f t="shared" si="0"/>
        <v>1102800</v>
      </c>
      <c r="F22" s="7" t="s">
        <v>570</v>
      </c>
    </row>
    <row r="23" spans="1:6">
      <c r="A23" s="27">
        <v>6642</v>
      </c>
      <c r="B23" s="7" t="s">
        <v>884</v>
      </c>
      <c r="C23" s="7">
        <v>400</v>
      </c>
      <c r="D23" s="7">
        <v>2757</v>
      </c>
      <c r="E23" s="7">
        <f t="shared" si="0"/>
        <v>1102800</v>
      </c>
      <c r="F23" s="7" t="s">
        <v>570</v>
      </c>
    </row>
    <row r="24" spans="3:6">
      <c r="C24" s="8" t="s">
        <v>18</v>
      </c>
      <c r="D24" s="9"/>
      <c r="E24" s="7">
        <f>SUM(E5:E23)</f>
        <v>20401800</v>
      </c>
      <c r="F24" s="12"/>
    </row>
    <row r="28" spans="9:12">
      <c r="I28" s="12"/>
      <c r="J28" s="12"/>
      <c r="K28" s="12"/>
      <c r="L28" s="12"/>
    </row>
    <row r="29" spans="9:12">
      <c r="I29" s="12"/>
      <c r="J29" s="12"/>
      <c r="K29" s="12"/>
      <c r="L29" s="13"/>
    </row>
    <row r="30" spans="9:12">
      <c r="I30" s="12"/>
      <c r="J30" s="12"/>
      <c r="K30" s="12"/>
      <c r="L30" s="12"/>
    </row>
    <row r="31" spans="9:12">
      <c r="I31" s="12"/>
      <c r="J31" s="12"/>
      <c r="K31" s="12"/>
      <c r="L31" s="12"/>
    </row>
    <row r="32" spans="9:12">
      <c r="I32" s="12"/>
      <c r="J32" s="12"/>
      <c r="K32" s="12"/>
      <c r="L32" s="12"/>
    </row>
    <row r="33" spans="9:12">
      <c r="I33" s="12"/>
      <c r="J33" s="12"/>
      <c r="K33" s="12"/>
      <c r="L33" s="12"/>
    </row>
    <row r="34" spans="9:12">
      <c r="I34" s="12"/>
      <c r="J34" s="12"/>
      <c r="K34" s="12"/>
      <c r="L34" s="12"/>
    </row>
    <row r="35" spans="9:12">
      <c r="I35" s="13"/>
      <c r="J35" s="12"/>
      <c r="K35" s="12"/>
      <c r="L35" s="12"/>
    </row>
    <row r="38" spans="15:16">
      <c r="O38" s="14"/>
      <c r="P38" s="14"/>
    </row>
    <row r="39" spans="15:16">
      <c r="O39" s="15"/>
      <c r="P39" s="15"/>
    </row>
    <row r="40" spans="15:16">
      <c r="O40" s="15"/>
      <c r="P40" s="15"/>
    </row>
    <row r="41" spans="15:16">
      <c r="O41" s="15"/>
      <c r="P41" s="15"/>
    </row>
    <row r="42" spans="15:16">
      <c r="O42" s="15"/>
      <c r="P42" s="15"/>
    </row>
    <row r="43" spans="15:16">
      <c r="O43" s="15"/>
      <c r="P43" s="15"/>
    </row>
    <row r="44" spans="15:16">
      <c r="O44" s="15"/>
      <c r="P44" s="15"/>
    </row>
    <row r="45" spans="15:16">
      <c r="O45" s="15"/>
      <c r="P45" s="15"/>
    </row>
    <row r="46" spans="15:16">
      <c r="O46" s="15"/>
      <c r="P46" s="15"/>
    </row>
    <row r="47" spans="15:16">
      <c r="O47" s="15"/>
      <c r="P47" s="15"/>
    </row>
  </sheetData>
  <mergeCells count="6">
    <mergeCell ref="A1:C1"/>
    <mergeCell ref="D1:F1"/>
    <mergeCell ref="A2:C2"/>
    <mergeCell ref="D2:F2"/>
    <mergeCell ref="A3:F3"/>
    <mergeCell ref="C24:D24"/>
  </mergeCells>
  <pageMargins left="0.7" right="0.7" top="0.75" bottom="0.75" header="0.3" footer="0.3"/>
  <pageSetup paperSize="9" orientation="portrait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G24" sqref="G2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886</v>
      </c>
      <c r="B1" s="1"/>
      <c r="C1" s="1"/>
      <c r="D1" s="1" t="s">
        <v>877</v>
      </c>
      <c r="E1" s="1"/>
      <c r="F1" s="1"/>
    </row>
    <row r="2" spans="1:6">
      <c r="A2" s="2" t="s">
        <v>817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 t="s">
        <v>49</v>
      </c>
      <c r="B5" s="7" t="s">
        <v>887</v>
      </c>
      <c r="C5" s="7">
        <v>40</v>
      </c>
      <c r="D5" s="7">
        <v>2719</v>
      </c>
      <c r="E5" s="7">
        <f>C5*D5</f>
        <v>108760</v>
      </c>
      <c r="F5" s="7" t="s">
        <v>49</v>
      </c>
    </row>
    <row r="6" spans="3:6">
      <c r="C6" s="8" t="s">
        <v>18</v>
      </c>
      <c r="D6" s="9"/>
      <c r="E6" s="7">
        <f>SUM(E5:E5)</f>
        <v>108760</v>
      </c>
      <c r="F6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3"/>
    </row>
    <row r="12" spans="9:12">
      <c r="I12" s="12"/>
      <c r="J12" s="12"/>
      <c r="K12" s="12"/>
      <c r="L12" s="12"/>
    </row>
    <row r="13" spans="9:12"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L35" sqref="L3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888</v>
      </c>
      <c r="B1" s="1"/>
      <c r="C1" s="1"/>
      <c r="D1" s="1" t="s">
        <v>877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6752</v>
      </c>
      <c r="B5" s="7" t="s">
        <v>629</v>
      </c>
      <c r="C5" s="7">
        <v>100</v>
      </c>
      <c r="D5" s="7">
        <v>2710</v>
      </c>
      <c r="E5" s="7">
        <f>C5*D5</f>
        <v>271000</v>
      </c>
      <c r="F5" s="7" t="s">
        <v>611</v>
      </c>
    </row>
    <row r="6" spans="1:6">
      <c r="A6" s="16">
        <v>6744</v>
      </c>
      <c r="B6" s="7" t="s">
        <v>612</v>
      </c>
      <c r="C6" s="7">
        <v>100</v>
      </c>
      <c r="D6" s="7">
        <v>2710</v>
      </c>
      <c r="E6" s="7">
        <f t="shared" ref="E6:E15" si="0">C6*D6</f>
        <v>271000</v>
      </c>
      <c r="F6" s="7" t="s">
        <v>611</v>
      </c>
    </row>
    <row r="7" spans="1:6">
      <c r="A7" s="16">
        <v>6745</v>
      </c>
      <c r="B7" s="7" t="s">
        <v>615</v>
      </c>
      <c r="C7" s="7">
        <v>100</v>
      </c>
      <c r="D7" s="7">
        <v>2710</v>
      </c>
      <c r="E7" s="7">
        <f t="shared" si="0"/>
        <v>271000</v>
      </c>
      <c r="F7" s="7" t="s">
        <v>611</v>
      </c>
    </row>
    <row r="8" spans="1:6">
      <c r="A8" s="16">
        <v>6741</v>
      </c>
      <c r="B8" s="7" t="s">
        <v>613</v>
      </c>
      <c r="C8" s="7">
        <v>100</v>
      </c>
      <c r="D8" s="7">
        <v>2710</v>
      </c>
      <c r="E8" s="7">
        <f t="shared" si="0"/>
        <v>271000</v>
      </c>
      <c r="F8" s="7" t="s">
        <v>611</v>
      </c>
    </row>
    <row r="9" spans="1:6">
      <c r="A9" s="16">
        <v>6742</v>
      </c>
      <c r="B9" s="7" t="s">
        <v>625</v>
      </c>
      <c r="C9" s="7">
        <v>100</v>
      </c>
      <c r="D9" s="7">
        <v>2710</v>
      </c>
      <c r="E9" s="7">
        <f t="shared" si="0"/>
        <v>271000</v>
      </c>
      <c r="F9" s="7" t="s">
        <v>611</v>
      </c>
    </row>
    <row r="10" spans="1:6">
      <c r="A10" s="16">
        <v>6746</v>
      </c>
      <c r="B10" s="7" t="s">
        <v>628</v>
      </c>
      <c r="C10" s="7">
        <v>100</v>
      </c>
      <c r="D10" s="7">
        <v>2710</v>
      </c>
      <c r="E10" s="7">
        <f t="shared" si="0"/>
        <v>271000</v>
      </c>
      <c r="F10" s="7" t="s">
        <v>611</v>
      </c>
    </row>
    <row r="11" spans="1:6">
      <c r="A11" s="27">
        <v>6422</v>
      </c>
      <c r="B11" s="7" t="s">
        <v>627</v>
      </c>
      <c r="C11" s="7">
        <v>100</v>
      </c>
      <c r="D11" s="7">
        <v>2710</v>
      </c>
      <c r="E11" s="7">
        <f t="shared" si="0"/>
        <v>271000</v>
      </c>
      <c r="F11" s="7" t="s">
        <v>611</v>
      </c>
    </row>
    <row r="12" spans="1:6">
      <c r="A12" s="16">
        <v>6759</v>
      </c>
      <c r="B12" s="7" t="s">
        <v>616</v>
      </c>
      <c r="C12" s="7">
        <v>100</v>
      </c>
      <c r="D12" s="7">
        <v>2710</v>
      </c>
      <c r="E12" s="7">
        <f t="shared" si="0"/>
        <v>271000</v>
      </c>
      <c r="F12" s="7" t="s">
        <v>611</v>
      </c>
    </row>
    <row r="13" spans="1:6">
      <c r="A13" s="16">
        <v>6753</v>
      </c>
      <c r="B13" s="7" t="s">
        <v>614</v>
      </c>
      <c r="C13" s="7">
        <v>100</v>
      </c>
      <c r="D13" s="7">
        <v>2710</v>
      </c>
      <c r="E13" s="7">
        <f t="shared" si="0"/>
        <v>271000</v>
      </c>
      <c r="F13" s="7" t="s">
        <v>611</v>
      </c>
    </row>
    <row r="14" spans="1:6">
      <c r="A14" s="16">
        <v>6748</v>
      </c>
      <c r="B14" s="7" t="s">
        <v>631</v>
      </c>
      <c r="C14" s="7">
        <v>100</v>
      </c>
      <c r="D14" s="7">
        <v>2710</v>
      </c>
      <c r="E14" s="7">
        <f t="shared" si="0"/>
        <v>271000</v>
      </c>
      <c r="F14" s="7" t="s">
        <v>611</v>
      </c>
    </row>
    <row r="15" spans="1:6">
      <c r="A15" s="16">
        <v>6757</v>
      </c>
      <c r="B15" s="7" t="s">
        <v>617</v>
      </c>
      <c r="C15" s="7">
        <v>100</v>
      </c>
      <c r="D15" s="7">
        <v>2710</v>
      </c>
      <c r="E15" s="7">
        <f t="shared" si="0"/>
        <v>271000</v>
      </c>
      <c r="F15" s="7" t="s">
        <v>611</v>
      </c>
    </row>
    <row r="16" spans="3:6">
      <c r="C16" s="8" t="s">
        <v>18</v>
      </c>
      <c r="D16" s="9"/>
      <c r="E16" s="7">
        <f>SUM(E5:E15)</f>
        <v>2981000</v>
      </c>
      <c r="F16" s="12"/>
    </row>
    <row r="20" spans="9:12">
      <c r="I20" s="12"/>
      <c r="J20" s="12"/>
      <c r="K20" s="12"/>
      <c r="L20" s="12"/>
    </row>
    <row r="21" spans="9:12">
      <c r="I21" s="12"/>
      <c r="J21" s="12"/>
      <c r="K21" s="12"/>
      <c r="L21" s="13"/>
    </row>
    <row r="22" spans="9:12">
      <c r="I22" s="12"/>
      <c r="J22" s="12"/>
      <c r="K22" s="12"/>
      <c r="L22" s="12"/>
    </row>
    <row r="23" spans="9:12">
      <c r="I23" s="12"/>
      <c r="J23" s="12"/>
      <c r="K23" s="12"/>
      <c r="L23" s="12"/>
    </row>
    <row r="24" spans="9:12">
      <c r="I24" s="12"/>
      <c r="J24" s="12"/>
      <c r="K24" s="12"/>
      <c r="L24" s="12"/>
    </row>
    <row r="25" spans="9:12">
      <c r="I25" s="12"/>
      <c r="J25" s="12"/>
      <c r="K25" s="12"/>
      <c r="L25" s="12"/>
    </row>
    <row r="26" spans="9:12">
      <c r="I26" s="12"/>
      <c r="J26" s="12"/>
      <c r="K26" s="12"/>
      <c r="L26" s="12"/>
    </row>
    <row r="27" spans="9:12">
      <c r="I27" s="13"/>
      <c r="J27" s="12"/>
      <c r="K27" s="12"/>
      <c r="L27" s="12"/>
    </row>
    <row r="30" spans="15:16">
      <c r="O30" s="14"/>
      <c r="P30" s="14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  <row r="36" spans="15:16">
      <c r="O36" s="15"/>
      <c r="P36" s="15"/>
    </row>
    <row r="37" spans="15:16">
      <c r="O37" s="15"/>
      <c r="P37" s="15"/>
    </row>
    <row r="38" spans="15:16">
      <c r="O38" s="15"/>
      <c r="P38" s="15"/>
    </row>
    <row r="39" spans="15:16">
      <c r="O39" s="15"/>
      <c r="P39" s="15"/>
    </row>
  </sheetData>
  <mergeCells count="6">
    <mergeCell ref="A1:C1"/>
    <mergeCell ref="D1:F1"/>
    <mergeCell ref="A2:C2"/>
    <mergeCell ref="D2:F2"/>
    <mergeCell ref="A3:F3"/>
    <mergeCell ref="C16:D16"/>
  </mergeCells>
  <pageMargins left="0.7" right="0.7" top="0.75" bottom="0.75" header="0.3" footer="0.3"/>
  <pageSetup paperSize="9" orientation="portrait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G25" sqref="G2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889</v>
      </c>
      <c r="B1" s="1"/>
      <c r="C1" s="1"/>
      <c r="D1" s="1" t="s">
        <v>877</v>
      </c>
      <c r="E1" s="1"/>
      <c r="F1" s="1"/>
    </row>
    <row r="2" spans="1:6">
      <c r="A2" s="2" t="s">
        <v>843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6752</v>
      </c>
      <c r="B5" s="7" t="s">
        <v>629</v>
      </c>
      <c r="C5" s="7">
        <v>70</v>
      </c>
      <c r="D5" s="7">
        <v>2730</v>
      </c>
      <c r="E5" s="7">
        <f t="shared" ref="E5:E15" si="0">C5*D5</f>
        <v>191100</v>
      </c>
      <c r="F5" s="7" t="s">
        <v>611</v>
      </c>
    </row>
    <row r="6" spans="1:6">
      <c r="A6" s="16">
        <v>6744</v>
      </c>
      <c r="B6" s="7" t="s">
        <v>612</v>
      </c>
      <c r="C6" s="7">
        <v>70</v>
      </c>
      <c r="D6" s="7">
        <v>2730</v>
      </c>
      <c r="E6" s="7">
        <f t="shared" si="0"/>
        <v>191100</v>
      </c>
      <c r="F6" s="7" t="s">
        <v>611</v>
      </c>
    </row>
    <row r="7" spans="1:6">
      <c r="A7" s="16">
        <v>6745</v>
      </c>
      <c r="B7" s="7" t="s">
        <v>615</v>
      </c>
      <c r="C7" s="7">
        <v>70</v>
      </c>
      <c r="D7" s="7">
        <v>2730</v>
      </c>
      <c r="E7" s="7">
        <f t="shared" si="0"/>
        <v>191100</v>
      </c>
      <c r="F7" s="7" t="s">
        <v>611</v>
      </c>
    </row>
    <row r="8" spans="1:6">
      <c r="A8" s="16">
        <v>6741</v>
      </c>
      <c r="B8" s="7" t="s">
        <v>613</v>
      </c>
      <c r="C8" s="7">
        <v>70</v>
      </c>
      <c r="D8" s="7">
        <v>2730</v>
      </c>
      <c r="E8" s="7">
        <f t="shared" si="0"/>
        <v>191100</v>
      </c>
      <c r="F8" s="7" t="s">
        <v>611</v>
      </c>
    </row>
    <row r="9" spans="1:6">
      <c r="A9" s="16">
        <v>6742</v>
      </c>
      <c r="B9" s="7" t="s">
        <v>625</v>
      </c>
      <c r="C9" s="7">
        <v>70</v>
      </c>
      <c r="D9" s="7">
        <v>2730</v>
      </c>
      <c r="E9" s="7">
        <f t="shared" si="0"/>
        <v>191100</v>
      </c>
      <c r="F9" s="7" t="s">
        <v>611</v>
      </c>
    </row>
    <row r="10" spans="1:6">
      <c r="A10" s="16">
        <v>6746</v>
      </c>
      <c r="B10" s="7" t="s">
        <v>628</v>
      </c>
      <c r="C10" s="7">
        <v>70</v>
      </c>
      <c r="D10" s="7">
        <v>2730</v>
      </c>
      <c r="E10" s="7">
        <f t="shared" si="0"/>
        <v>191100</v>
      </c>
      <c r="F10" s="7" t="s">
        <v>611</v>
      </c>
    </row>
    <row r="11" spans="1:6">
      <c r="A11" s="27">
        <v>6422</v>
      </c>
      <c r="B11" s="7" t="s">
        <v>627</v>
      </c>
      <c r="C11" s="7">
        <v>70</v>
      </c>
      <c r="D11" s="7">
        <v>2730</v>
      </c>
      <c r="E11" s="7">
        <f t="shared" si="0"/>
        <v>191100</v>
      </c>
      <c r="F11" s="7" t="s">
        <v>611</v>
      </c>
    </row>
    <row r="12" spans="1:6">
      <c r="A12" s="16">
        <v>6759</v>
      </c>
      <c r="B12" s="7" t="s">
        <v>616</v>
      </c>
      <c r="C12" s="7">
        <v>70</v>
      </c>
      <c r="D12" s="7">
        <v>2730</v>
      </c>
      <c r="E12" s="7">
        <f t="shared" si="0"/>
        <v>191100</v>
      </c>
      <c r="F12" s="7" t="s">
        <v>611</v>
      </c>
    </row>
    <row r="13" spans="1:6">
      <c r="A13" s="16">
        <v>6753</v>
      </c>
      <c r="B13" s="7" t="s">
        <v>614</v>
      </c>
      <c r="C13" s="7">
        <v>70</v>
      </c>
      <c r="D13" s="7">
        <v>2730</v>
      </c>
      <c r="E13" s="7">
        <f t="shared" si="0"/>
        <v>191100</v>
      </c>
      <c r="F13" s="7" t="s">
        <v>611</v>
      </c>
    </row>
    <row r="14" spans="1:6">
      <c r="A14" s="16">
        <v>6748</v>
      </c>
      <c r="B14" s="7" t="s">
        <v>631</v>
      </c>
      <c r="C14" s="7">
        <v>70</v>
      </c>
      <c r="D14" s="7">
        <v>2730</v>
      </c>
      <c r="E14" s="7">
        <f t="shared" si="0"/>
        <v>191100</v>
      </c>
      <c r="F14" s="7" t="s">
        <v>611</v>
      </c>
    </row>
    <row r="15" spans="1:6">
      <c r="A15" s="16">
        <v>6757</v>
      </c>
      <c r="B15" s="7" t="s">
        <v>617</v>
      </c>
      <c r="C15" s="7">
        <v>70</v>
      </c>
      <c r="D15" s="7">
        <v>2730</v>
      </c>
      <c r="E15" s="7">
        <f t="shared" si="0"/>
        <v>191100</v>
      </c>
      <c r="F15" s="7" t="s">
        <v>611</v>
      </c>
    </row>
    <row r="16" spans="3:6">
      <c r="C16" s="8" t="s">
        <v>18</v>
      </c>
      <c r="D16" s="9"/>
      <c r="E16" s="7">
        <f>SUM(E5:E15)</f>
        <v>2102100</v>
      </c>
      <c r="F16" s="12"/>
    </row>
    <row r="20" spans="9:12">
      <c r="I20" s="12"/>
      <c r="J20" s="12"/>
      <c r="K20" s="12"/>
      <c r="L20" s="12"/>
    </row>
    <row r="21" spans="9:12">
      <c r="I21" s="12"/>
      <c r="J21" s="12"/>
      <c r="K21" s="12"/>
      <c r="L21" s="13"/>
    </row>
    <row r="22" spans="9:12">
      <c r="I22" s="12"/>
      <c r="J22" s="12"/>
      <c r="K22" s="12"/>
      <c r="L22" s="12"/>
    </row>
    <row r="23" spans="9:12">
      <c r="I23" s="12"/>
      <c r="J23" s="12"/>
      <c r="K23" s="12"/>
      <c r="L23" s="12"/>
    </row>
    <row r="24" spans="9:12">
      <c r="I24" s="12"/>
      <c r="J24" s="12"/>
      <c r="K24" s="12"/>
      <c r="L24" s="12"/>
    </row>
    <row r="25" spans="9:12">
      <c r="I25" s="12"/>
      <c r="J25" s="12"/>
      <c r="K25" s="12"/>
      <c r="L25" s="12"/>
    </row>
    <row r="26" spans="9:12">
      <c r="I26" s="12"/>
      <c r="J26" s="12"/>
      <c r="K26" s="12"/>
      <c r="L26" s="12"/>
    </row>
    <row r="27" spans="9:12">
      <c r="I27" s="13"/>
      <c r="J27" s="12"/>
      <c r="K27" s="12"/>
      <c r="L27" s="12"/>
    </row>
    <row r="30" spans="15:16">
      <c r="O30" s="14"/>
      <c r="P30" s="14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  <row r="36" spans="15:16">
      <c r="O36" s="15"/>
      <c r="P36" s="15"/>
    </row>
    <row r="37" spans="15:16">
      <c r="O37" s="15"/>
      <c r="P37" s="15"/>
    </row>
    <row r="38" spans="15:16">
      <c r="O38" s="15"/>
      <c r="P38" s="15"/>
    </row>
    <row r="39" spans="15:16">
      <c r="O39" s="15"/>
      <c r="P39" s="15"/>
    </row>
  </sheetData>
  <mergeCells count="6">
    <mergeCell ref="A1:C1"/>
    <mergeCell ref="D1:F1"/>
    <mergeCell ref="A2:C2"/>
    <mergeCell ref="D2:F2"/>
    <mergeCell ref="A3:F3"/>
    <mergeCell ref="C16:D16"/>
  </mergeCells>
  <pageMargins left="0.7" right="0.7" top="0.75" bottom="0.75" header="0.3" footer="0.3"/>
  <pageSetup paperSize="9" orientation="portrait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workbookViewId="0">
      <selection activeCell="I12" sqref="I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890</v>
      </c>
      <c r="B1" s="1"/>
      <c r="C1" s="1"/>
      <c r="D1" s="1" t="s">
        <v>877</v>
      </c>
      <c r="E1" s="1"/>
      <c r="F1" s="1"/>
    </row>
    <row r="2" spans="1:6">
      <c r="A2" s="2" t="s">
        <v>799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6737</v>
      </c>
      <c r="B5" s="7" t="s">
        <v>235</v>
      </c>
      <c r="C5" s="7">
        <v>50</v>
      </c>
      <c r="D5" s="7">
        <v>1.2</v>
      </c>
      <c r="E5" s="7">
        <f>C5*D5</f>
        <v>60</v>
      </c>
      <c r="F5" s="7" t="s">
        <v>570</v>
      </c>
    </row>
    <row r="6" spans="1:6">
      <c r="A6" s="18">
        <v>6841</v>
      </c>
      <c r="B6" s="7" t="s">
        <v>389</v>
      </c>
      <c r="C6" s="7">
        <v>50</v>
      </c>
      <c r="D6" s="7">
        <v>1.2</v>
      </c>
      <c r="E6" s="7">
        <f t="shared" ref="E6:E11" si="0">C6*D6</f>
        <v>60</v>
      </c>
      <c r="F6" s="7" t="s">
        <v>570</v>
      </c>
    </row>
    <row r="7" spans="1:6">
      <c r="A7" s="18">
        <v>6840</v>
      </c>
      <c r="B7" s="7" t="s">
        <v>278</v>
      </c>
      <c r="C7" s="7">
        <v>50</v>
      </c>
      <c r="D7" s="7">
        <v>1.2</v>
      </c>
      <c r="E7" s="7">
        <f t="shared" si="0"/>
        <v>60</v>
      </c>
      <c r="F7" s="7" t="s">
        <v>570</v>
      </c>
    </row>
    <row r="8" spans="1:6">
      <c r="A8" s="16">
        <v>6761</v>
      </c>
      <c r="B8" s="7" t="s">
        <v>891</v>
      </c>
      <c r="C8" s="7">
        <v>50</v>
      </c>
      <c r="D8" s="7">
        <v>1.2</v>
      </c>
      <c r="E8" s="7">
        <f t="shared" si="0"/>
        <v>60</v>
      </c>
      <c r="F8" s="7" t="s">
        <v>611</v>
      </c>
    </row>
    <row r="9" spans="1:6">
      <c r="A9" s="16">
        <v>6767</v>
      </c>
      <c r="B9" s="7" t="s">
        <v>15</v>
      </c>
      <c r="C9" s="7">
        <v>50</v>
      </c>
      <c r="D9" s="7">
        <v>1.2</v>
      </c>
      <c r="E9" s="7">
        <f t="shared" si="0"/>
        <v>60</v>
      </c>
      <c r="F9" s="7" t="s">
        <v>611</v>
      </c>
    </row>
    <row r="10" spans="1:6">
      <c r="A10" s="16">
        <v>6739</v>
      </c>
      <c r="B10" s="7" t="s">
        <v>378</v>
      </c>
      <c r="C10" s="7">
        <v>50</v>
      </c>
      <c r="D10" s="7">
        <v>1.2</v>
      </c>
      <c r="E10" s="7">
        <f t="shared" si="0"/>
        <v>60</v>
      </c>
      <c r="F10" s="7" t="s">
        <v>570</v>
      </c>
    </row>
    <row r="11" spans="1:6">
      <c r="A11" s="16">
        <v>6738</v>
      </c>
      <c r="B11" s="7" t="s">
        <v>323</v>
      </c>
      <c r="C11" s="7">
        <v>50</v>
      </c>
      <c r="D11" s="7">
        <v>1.2</v>
      </c>
      <c r="E11" s="7">
        <f t="shared" si="0"/>
        <v>60</v>
      </c>
      <c r="F11" s="7" t="s">
        <v>570</v>
      </c>
    </row>
    <row r="12" spans="3:6">
      <c r="C12" s="8" t="s">
        <v>18</v>
      </c>
      <c r="D12" s="9"/>
      <c r="E12" s="7">
        <f>SUM(E5:E11)</f>
        <v>420</v>
      </c>
      <c r="F12" s="12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3"/>
    </row>
    <row r="18" spans="9:12">
      <c r="I18" s="12"/>
      <c r="J18" s="12"/>
      <c r="K18" s="12"/>
      <c r="L18" s="12"/>
    </row>
    <row r="19" spans="9:12">
      <c r="I19" s="12"/>
      <c r="J19" s="12"/>
      <c r="K19" s="12"/>
      <c r="L19" s="12"/>
    </row>
    <row r="20" spans="9:12">
      <c r="I20" s="12"/>
      <c r="J20" s="12"/>
      <c r="K20" s="12"/>
      <c r="L20" s="12"/>
    </row>
    <row r="21" spans="9:12">
      <c r="I21" s="12"/>
      <c r="J21" s="12"/>
      <c r="K21" s="12"/>
      <c r="L21" s="12"/>
    </row>
    <row r="22" spans="9:12">
      <c r="I22" s="12"/>
      <c r="J22" s="12"/>
      <c r="K22" s="12"/>
      <c r="L22" s="12"/>
    </row>
    <row r="23" spans="9:12">
      <c r="I23" s="13"/>
      <c r="J23" s="12"/>
      <c r="K23" s="12"/>
      <c r="L23" s="12"/>
    </row>
    <row r="26" spans="15:16">
      <c r="O26" s="14"/>
      <c r="P26" s="14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</sheetData>
  <mergeCells count="6">
    <mergeCell ref="A1:C1"/>
    <mergeCell ref="D1:F1"/>
    <mergeCell ref="A2:C2"/>
    <mergeCell ref="D2:F2"/>
    <mergeCell ref="A3:F3"/>
    <mergeCell ref="C12:D12"/>
  </mergeCells>
  <pageMargins left="0.7" right="0.7" top="0.75" bottom="0.75" header="0.3" footer="0.3"/>
  <pageSetup paperSize="9" orientation="portrait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G12" sqref="G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892</v>
      </c>
      <c r="B1" s="1"/>
      <c r="C1" s="1"/>
      <c r="D1" s="1" t="s">
        <v>877</v>
      </c>
      <c r="E1" s="1"/>
      <c r="F1" s="1"/>
    </row>
    <row r="2" spans="1:6">
      <c r="A2" s="2" t="s">
        <v>841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6786</v>
      </c>
      <c r="B5" s="7" t="s">
        <v>287</v>
      </c>
      <c r="C5" s="7">
        <v>80</v>
      </c>
      <c r="D5" s="7">
        <v>2710</v>
      </c>
      <c r="E5" s="7">
        <f>C5*D5</f>
        <v>216800</v>
      </c>
      <c r="F5" s="7" t="s">
        <v>655</v>
      </c>
    </row>
    <row r="6" spans="1:6">
      <c r="A6" s="7">
        <v>6788</v>
      </c>
      <c r="B6" s="7" t="s">
        <v>289</v>
      </c>
      <c r="C6" s="7">
        <v>24</v>
      </c>
      <c r="D6" s="7">
        <v>2710</v>
      </c>
      <c r="E6" s="7">
        <f>C6*D6</f>
        <v>65040</v>
      </c>
      <c r="F6" s="7" t="s">
        <v>655</v>
      </c>
    </row>
    <row r="7" spans="3:6">
      <c r="C7" s="8" t="s">
        <v>18</v>
      </c>
      <c r="D7" s="9"/>
      <c r="E7" s="7">
        <f>SUM(E5:E6)</f>
        <v>281840</v>
      </c>
      <c r="F7" s="12"/>
    </row>
    <row r="11" spans="9:12">
      <c r="I11" s="12"/>
      <c r="J11" s="12"/>
      <c r="K11" s="12"/>
      <c r="L11" s="12"/>
    </row>
    <row r="12" spans="9:12">
      <c r="I12" s="12"/>
      <c r="J12" s="12"/>
      <c r="K12" s="12"/>
      <c r="L12" s="13"/>
    </row>
    <row r="13" spans="9:12"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2"/>
    </row>
    <row r="18" spans="9:12">
      <c r="I18" s="13"/>
      <c r="J18" s="12"/>
      <c r="K18" s="12"/>
      <c r="L18" s="12"/>
    </row>
    <row r="21" spans="15:16">
      <c r="O21" s="14"/>
      <c r="P21" s="14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I23" sqref="I2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893</v>
      </c>
      <c r="B1" s="1"/>
      <c r="C1" s="1"/>
      <c r="D1" s="1" t="s">
        <v>877</v>
      </c>
      <c r="E1" s="1"/>
      <c r="F1" s="1"/>
    </row>
    <row r="2" spans="1:6">
      <c r="A2" s="2" t="s">
        <v>799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6743</v>
      </c>
      <c r="B5" s="7" t="s">
        <v>894</v>
      </c>
      <c r="C5" s="7">
        <v>50</v>
      </c>
      <c r="D5" s="7">
        <v>1.2</v>
      </c>
      <c r="E5" s="7">
        <f>C5*D5</f>
        <v>60</v>
      </c>
      <c r="F5" s="7" t="s">
        <v>611</v>
      </c>
    </row>
    <row r="6" spans="3:6">
      <c r="C6" s="8" t="s">
        <v>18</v>
      </c>
      <c r="D6" s="9"/>
      <c r="E6" s="7">
        <f>SUM(E5:E5)</f>
        <v>60</v>
      </c>
      <c r="F6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3"/>
    </row>
    <row r="12" spans="9:12">
      <c r="I12" s="12"/>
      <c r="J12" s="12"/>
      <c r="K12" s="12"/>
      <c r="L12" s="12"/>
    </row>
    <row r="13" spans="9:12"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I12" sqref="I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895</v>
      </c>
      <c r="B1" s="1"/>
      <c r="C1" s="1"/>
      <c r="D1" s="1" t="s">
        <v>877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16">
        <v>6737</v>
      </c>
      <c r="B5" s="7" t="s">
        <v>235</v>
      </c>
      <c r="C5" s="7">
        <v>350</v>
      </c>
      <c r="D5" s="7">
        <v>1.2</v>
      </c>
      <c r="E5" s="7">
        <f t="shared" ref="E5:E12" si="0">C5*D5</f>
        <v>420</v>
      </c>
      <c r="F5" s="7" t="s">
        <v>570</v>
      </c>
    </row>
    <row r="6" spans="1:6">
      <c r="A6" s="18">
        <v>6841</v>
      </c>
      <c r="B6" s="7" t="s">
        <v>389</v>
      </c>
      <c r="C6" s="7">
        <v>350</v>
      </c>
      <c r="D6" s="7">
        <v>1.2</v>
      </c>
      <c r="E6" s="7">
        <f t="shared" si="0"/>
        <v>420</v>
      </c>
      <c r="F6" s="7" t="s">
        <v>570</v>
      </c>
    </row>
    <row r="7" spans="1:6">
      <c r="A7" s="18">
        <v>6840</v>
      </c>
      <c r="B7" s="7" t="s">
        <v>278</v>
      </c>
      <c r="C7" s="7">
        <v>350</v>
      </c>
      <c r="D7" s="7">
        <v>1.2</v>
      </c>
      <c r="E7" s="7">
        <f t="shared" si="0"/>
        <v>420</v>
      </c>
      <c r="F7" s="7" t="s">
        <v>570</v>
      </c>
    </row>
    <row r="8" spans="1:6">
      <c r="A8" s="16">
        <v>6761</v>
      </c>
      <c r="B8" s="7" t="s">
        <v>891</v>
      </c>
      <c r="C8" s="7">
        <v>350</v>
      </c>
      <c r="D8" s="7">
        <v>1.2</v>
      </c>
      <c r="E8" s="7">
        <f t="shared" si="0"/>
        <v>420</v>
      </c>
      <c r="F8" s="7" t="s">
        <v>611</v>
      </c>
    </row>
    <row r="9" spans="1:6">
      <c r="A9" s="16">
        <v>6767</v>
      </c>
      <c r="B9" s="7" t="s">
        <v>15</v>
      </c>
      <c r="C9" s="7">
        <v>350</v>
      </c>
      <c r="D9" s="7">
        <v>1.2</v>
      </c>
      <c r="E9" s="7">
        <f t="shared" si="0"/>
        <v>420</v>
      </c>
      <c r="F9" s="7" t="s">
        <v>611</v>
      </c>
    </row>
    <row r="10" spans="1:12">
      <c r="A10" s="16">
        <v>6739</v>
      </c>
      <c r="B10" s="7" t="s">
        <v>378</v>
      </c>
      <c r="C10" s="7">
        <v>350</v>
      </c>
      <c r="D10" s="7">
        <v>1.2</v>
      </c>
      <c r="E10" s="7">
        <f t="shared" si="0"/>
        <v>420</v>
      </c>
      <c r="F10" s="7" t="s">
        <v>570</v>
      </c>
      <c r="I10" s="12"/>
      <c r="J10" s="12"/>
      <c r="K10" s="12"/>
      <c r="L10" s="12"/>
    </row>
    <row r="11" spans="1:12">
      <c r="A11" s="16">
        <v>6743</v>
      </c>
      <c r="B11" s="7" t="s">
        <v>894</v>
      </c>
      <c r="C11" s="7">
        <v>350</v>
      </c>
      <c r="D11" s="7">
        <v>1.2</v>
      </c>
      <c r="E11" s="7">
        <f t="shared" si="0"/>
        <v>420</v>
      </c>
      <c r="F11" s="7" t="s">
        <v>611</v>
      </c>
      <c r="I11" s="12"/>
      <c r="J11" s="12"/>
      <c r="K11" s="12"/>
      <c r="L11" s="13"/>
    </row>
    <row r="12" spans="1:12">
      <c r="A12" s="16">
        <v>6738</v>
      </c>
      <c r="B12" s="7" t="s">
        <v>323</v>
      </c>
      <c r="C12" s="7">
        <v>350</v>
      </c>
      <c r="D12" s="7">
        <v>1.2</v>
      </c>
      <c r="E12" s="7">
        <f t="shared" si="0"/>
        <v>420</v>
      </c>
      <c r="F12" s="7" t="s">
        <v>570</v>
      </c>
      <c r="I12" s="12"/>
      <c r="J12" s="12"/>
      <c r="K12" s="12"/>
      <c r="L12" s="12"/>
    </row>
    <row r="13" spans="3:12">
      <c r="C13" s="8" t="s">
        <v>18</v>
      </c>
      <c r="D13" s="9"/>
      <c r="E13" s="7">
        <f>SUM(E5:E12)</f>
        <v>3360</v>
      </c>
      <c r="F13" s="12"/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G15" sqref="G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896</v>
      </c>
      <c r="B1" s="1"/>
      <c r="C1" s="1"/>
      <c r="D1" s="1" t="s">
        <v>877</v>
      </c>
      <c r="E1" s="1"/>
      <c r="F1" s="1"/>
    </row>
    <row r="2" spans="1:6">
      <c r="A2" s="2" t="s">
        <v>778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6731</v>
      </c>
      <c r="B5" s="7" t="s">
        <v>262</v>
      </c>
      <c r="C5" s="7">
        <v>100</v>
      </c>
      <c r="D5" s="7">
        <v>1.2</v>
      </c>
      <c r="E5" s="7">
        <f>C5*D5</f>
        <v>120</v>
      </c>
      <c r="F5" s="7" t="s">
        <v>570</v>
      </c>
    </row>
    <row r="6" spans="3:12">
      <c r="C6" s="8" t="s">
        <v>18</v>
      </c>
      <c r="D6" s="9"/>
      <c r="E6" s="7">
        <f>SUM(E5:E5)</f>
        <v>120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G25" sqref="G2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897</v>
      </c>
      <c r="B1" s="1"/>
      <c r="C1" s="1"/>
      <c r="D1" s="1" t="s">
        <v>877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6644</v>
      </c>
      <c r="B5" s="7" t="s">
        <v>681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3:12">
      <c r="C6" s="8" t="s">
        <v>18</v>
      </c>
      <c r="D6" s="9"/>
      <c r="E6" s="7">
        <f>SUM(E5:E5)</f>
        <v>287500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J24" sqref="J2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898</v>
      </c>
      <c r="B1" s="1"/>
      <c r="C1" s="1"/>
      <c r="D1" s="1" t="s">
        <v>877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6644</v>
      </c>
      <c r="B5" s="7" t="s">
        <v>681</v>
      </c>
      <c r="C5" s="7">
        <v>400</v>
      </c>
      <c r="D5" s="7">
        <v>2757</v>
      </c>
      <c r="E5" s="7">
        <f>C5*D5</f>
        <v>1102800</v>
      </c>
      <c r="F5" s="7" t="s">
        <v>570</v>
      </c>
    </row>
    <row r="6" spans="3:12">
      <c r="C6" s="8" t="s">
        <v>18</v>
      </c>
      <c r="D6" s="9"/>
      <c r="E6" s="7">
        <f>SUM(E5:E5)</f>
        <v>1102800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F22" sqref="F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899</v>
      </c>
      <c r="B1" s="1"/>
      <c r="C1" s="1"/>
      <c r="D1" s="1" t="s">
        <v>877</v>
      </c>
      <c r="E1" s="1"/>
      <c r="F1" s="1"/>
    </row>
    <row r="2" spans="1:6">
      <c r="A2" s="2" t="s">
        <v>900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6652</v>
      </c>
      <c r="B5" s="7" t="s">
        <v>198</v>
      </c>
      <c r="C5" s="7">
        <v>40</v>
      </c>
      <c r="D5" s="7">
        <v>1.2</v>
      </c>
      <c r="E5" s="7">
        <f>C5*D5</f>
        <v>48</v>
      </c>
      <c r="F5" s="7" t="s">
        <v>570</v>
      </c>
    </row>
    <row r="6" spans="3:12">
      <c r="C6" s="8" t="s">
        <v>18</v>
      </c>
      <c r="D6" s="9"/>
      <c r="E6" s="7">
        <f>SUM(E5:E5)</f>
        <v>48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H26" sqref="H2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901</v>
      </c>
      <c r="B1" s="1"/>
      <c r="C1" s="1"/>
      <c r="D1" s="1" t="s">
        <v>902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6564</v>
      </c>
      <c r="B5" s="7" t="s">
        <v>346</v>
      </c>
      <c r="C5" s="7">
        <v>450</v>
      </c>
      <c r="D5" s="7">
        <v>2757</v>
      </c>
      <c r="E5" s="7">
        <f>C5*D5</f>
        <v>1240650</v>
      </c>
      <c r="F5" s="7" t="s">
        <v>655</v>
      </c>
    </row>
    <row r="6" spans="1:6">
      <c r="A6" s="7">
        <v>6780</v>
      </c>
      <c r="B6" s="7" t="s">
        <v>241</v>
      </c>
      <c r="C6" s="7">
        <v>450</v>
      </c>
      <c r="D6" s="7">
        <v>2757</v>
      </c>
      <c r="E6" s="7">
        <f>C6*D6</f>
        <v>1240650</v>
      </c>
      <c r="F6" s="7" t="s">
        <v>655</v>
      </c>
    </row>
    <row r="7" spans="3:12">
      <c r="C7" s="8" t="s">
        <v>18</v>
      </c>
      <c r="D7" s="9"/>
      <c r="E7" s="7">
        <f>SUM(E5:E6)</f>
        <v>2481300</v>
      </c>
      <c r="F7" s="12"/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3"/>
      <c r="J11" s="12"/>
      <c r="K11" s="12"/>
      <c r="L11" s="12"/>
    </row>
    <row r="14" spans="15:16">
      <c r="O14" s="14"/>
      <c r="P14" s="14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H31" sqref="H3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903</v>
      </c>
      <c r="B1" s="1"/>
      <c r="C1" s="1"/>
      <c r="D1" s="1" t="s">
        <v>902</v>
      </c>
      <c r="E1" s="1"/>
      <c r="F1" s="1"/>
    </row>
    <row r="2" spans="1:6">
      <c r="A2" s="2" t="s">
        <v>789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6643</v>
      </c>
      <c r="B5" s="7" t="s">
        <v>92</v>
      </c>
      <c r="C5" s="7">
        <v>100</v>
      </c>
      <c r="D5" s="7">
        <v>2875</v>
      </c>
      <c r="E5" s="7">
        <f>C5*D5</f>
        <v>287500</v>
      </c>
      <c r="F5" s="7" t="s">
        <v>570</v>
      </c>
    </row>
    <row r="6" spans="1:6">
      <c r="A6" s="7">
        <v>6646</v>
      </c>
      <c r="B6" s="7" t="s">
        <v>683</v>
      </c>
      <c r="C6" s="7">
        <v>100</v>
      </c>
      <c r="D6" s="7">
        <v>2875</v>
      </c>
      <c r="E6" s="7">
        <f>C6*D6</f>
        <v>287500</v>
      </c>
      <c r="F6" s="7" t="s">
        <v>570</v>
      </c>
    </row>
    <row r="7" spans="3:12">
      <c r="C7" s="8" t="s">
        <v>18</v>
      </c>
      <c r="D7" s="9"/>
      <c r="E7" s="7">
        <f>SUM(E5:E6)</f>
        <v>575000</v>
      </c>
      <c r="F7" s="12"/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3"/>
      <c r="J11" s="12"/>
      <c r="K11" s="12"/>
      <c r="L11" s="12"/>
    </row>
    <row r="14" spans="15:16">
      <c r="O14" s="14"/>
      <c r="P14" s="14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H17" sqref="H1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904</v>
      </c>
      <c r="B1" s="1"/>
      <c r="C1" s="1"/>
      <c r="D1" s="1" t="s">
        <v>902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27">
        <v>6643</v>
      </c>
      <c r="B5" s="7" t="s">
        <v>92</v>
      </c>
      <c r="C5" s="7">
        <v>400</v>
      </c>
      <c r="D5" s="7">
        <v>2757</v>
      </c>
      <c r="E5" s="7">
        <f>C5*D5</f>
        <v>1102800</v>
      </c>
      <c r="F5" s="7" t="s">
        <v>570</v>
      </c>
    </row>
    <row r="6" spans="1:6">
      <c r="A6" s="7">
        <v>6646</v>
      </c>
      <c r="B6" s="7" t="s">
        <v>683</v>
      </c>
      <c r="C6" s="7">
        <v>400</v>
      </c>
      <c r="D6" s="7">
        <v>2757</v>
      </c>
      <c r="E6" s="7">
        <f>C6*D6</f>
        <v>1102800</v>
      </c>
      <c r="F6" s="7" t="s">
        <v>570</v>
      </c>
    </row>
    <row r="7" spans="3:12">
      <c r="C7" s="8" t="s">
        <v>18</v>
      </c>
      <c r="D7" s="9"/>
      <c r="E7" s="7">
        <f>SUM(E5:E6)</f>
        <v>2205600</v>
      </c>
      <c r="F7" s="12"/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3"/>
      <c r="J11" s="12"/>
      <c r="K11" s="12"/>
      <c r="L11" s="12"/>
    </row>
    <row r="14" spans="15:16">
      <c r="O14" s="14"/>
      <c r="P14" s="14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workbookViewId="0">
      <selection activeCell="K32" sqref="K3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905</v>
      </c>
      <c r="B1" s="1"/>
      <c r="C1" s="1"/>
      <c r="D1" s="1" t="s">
        <v>902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6800</v>
      </c>
      <c r="B5" s="7" t="s">
        <v>330</v>
      </c>
      <c r="C5" s="7">
        <v>500</v>
      </c>
      <c r="D5" s="7">
        <v>1.2</v>
      </c>
      <c r="E5" s="7">
        <f>C5*D5</f>
        <v>600</v>
      </c>
      <c r="F5" s="7" t="s">
        <v>212</v>
      </c>
    </row>
    <row r="6" spans="1:6">
      <c r="A6" s="7">
        <v>6808</v>
      </c>
      <c r="B6" s="7" t="s">
        <v>354</v>
      </c>
      <c r="C6" s="7">
        <v>460</v>
      </c>
      <c r="D6" s="7">
        <v>1.2</v>
      </c>
      <c r="E6" s="7">
        <f t="shared" ref="E6:E16" si="0">C6*D6</f>
        <v>552</v>
      </c>
      <c r="F6" s="7" t="s">
        <v>212</v>
      </c>
    </row>
    <row r="7" spans="1:6">
      <c r="A7" s="7">
        <v>6782</v>
      </c>
      <c r="B7" s="7" t="s">
        <v>283</v>
      </c>
      <c r="C7" s="7">
        <v>560</v>
      </c>
      <c r="D7" s="7">
        <v>1.2</v>
      </c>
      <c r="E7" s="7">
        <f t="shared" si="0"/>
        <v>672</v>
      </c>
      <c r="F7" s="7" t="s">
        <v>655</v>
      </c>
    </row>
    <row r="8" spans="1:6">
      <c r="A8" s="7">
        <v>6776</v>
      </c>
      <c r="B8" s="7" t="s">
        <v>150</v>
      </c>
      <c r="C8" s="7">
        <v>560</v>
      </c>
      <c r="D8" s="7">
        <v>1.2</v>
      </c>
      <c r="E8" s="7">
        <f t="shared" si="0"/>
        <v>672</v>
      </c>
      <c r="F8" s="7" t="s">
        <v>655</v>
      </c>
    </row>
    <row r="9" spans="1:6">
      <c r="A9" s="7">
        <v>6789</v>
      </c>
      <c r="B9" s="7" t="s">
        <v>290</v>
      </c>
      <c r="C9" s="7">
        <v>600</v>
      </c>
      <c r="D9" s="7">
        <v>1.2</v>
      </c>
      <c r="E9" s="7">
        <f t="shared" si="0"/>
        <v>720</v>
      </c>
      <c r="F9" s="7" t="s">
        <v>655</v>
      </c>
    </row>
    <row r="10" spans="1:6">
      <c r="A10" s="7">
        <v>6778</v>
      </c>
      <c r="B10" s="7" t="s">
        <v>237</v>
      </c>
      <c r="C10" s="7">
        <v>560</v>
      </c>
      <c r="D10" s="7">
        <v>1.2</v>
      </c>
      <c r="E10" s="7">
        <f t="shared" si="0"/>
        <v>672</v>
      </c>
      <c r="F10" s="7" t="s">
        <v>655</v>
      </c>
    </row>
    <row r="11" spans="1:6">
      <c r="A11" s="7">
        <v>6809</v>
      </c>
      <c r="B11" s="7" t="s">
        <v>336</v>
      </c>
      <c r="C11" s="7">
        <v>460</v>
      </c>
      <c r="D11" s="7">
        <v>1.2</v>
      </c>
      <c r="E11" s="7">
        <f t="shared" si="0"/>
        <v>552</v>
      </c>
      <c r="F11" s="7" t="s">
        <v>212</v>
      </c>
    </row>
    <row r="12" spans="1:6">
      <c r="A12" s="7">
        <v>6815</v>
      </c>
      <c r="B12" s="7" t="s">
        <v>333</v>
      </c>
      <c r="C12" s="7">
        <v>260</v>
      </c>
      <c r="D12" s="7">
        <v>1.2</v>
      </c>
      <c r="E12" s="7">
        <f t="shared" si="0"/>
        <v>312</v>
      </c>
      <c r="F12" s="7" t="s">
        <v>653</v>
      </c>
    </row>
    <row r="13" spans="1:6">
      <c r="A13" s="7">
        <v>6803</v>
      </c>
      <c r="B13" s="7" t="s">
        <v>334</v>
      </c>
      <c r="C13" s="7">
        <v>460</v>
      </c>
      <c r="D13" s="7">
        <v>1.2</v>
      </c>
      <c r="E13" s="7">
        <f t="shared" si="0"/>
        <v>552</v>
      </c>
      <c r="F13" s="7" t="s">
        <v>212</v>
      </c>
    </row>
    <row r="14" spans="1:6">
      <c r="A14" s="7">
        <v>6810</v>
      </c>
      <c r="B14" s="7" t="s">
        <v>296</v>
      </c>
      <c r="C14" s="7">
        <v>560</v>
      </c>
      <c r="D14" s="7">
        <v>1.2</v>
      </c>
      <c r="E14" s="7">
        <f t="shared" si="0"/>
        <v>672</v>
      </c>
      <c r="F14" s="7" t="s">
        <v>655</v>
      </c>
    </row>
    <row r="15" spans="1:6">
      <c r="A15" s="7">
        <v>6567</v>
      </c>
      <c r="B15" s="7" t="s">
        <v>219</v>
      </c>
      <c r="C15" s="7">
        <v>600</v>
      </c>
      <c r="D15" s="7">
        <v>1.2</v>
      </c>
      <c r="E15" s="7">
        <f t="shared" si="0"/>
        <v>720</v>
      </c>
      <c r="F15" s="7" t="s">
        <v>655</v>
      </c>
    </row>
    <row r="16" spans="1:6">
      <c r="A16" s="7">
        <v>6594</v>
      </c>
      <c r="B16" s="7" t="s">
        <v>293</v>
      </c>
      <c r="C16" s="7">
        <v>60</v>
      </c>
      <c r="D16" s="7">
        <v>1.2</v>
      </c>
      <c r="E16" s="7">
        <f t="shared" si="0"/>
        <v>72</v>
      </c>
      <c r="F16" s="7" t="s">
        <v>726</v>
      </c>
    </row>
    <row r="17" spans="3:12">
      <c r="C17" s="8" t="s">
        <v>18</v>
      </c>
      <c r="D17" s="9"/>
      <c r="E17" s="7">
        <f>SUM(E5:E16)</f>
        <v>6768</v>
      </c>
      <c r="F17" s="12"/>
      <c r="I17" s="12"/>
      <c r="J17" s="12"/>
      <c r="K17" s="12"/>
      <c r="L17" s="12"/>
    </row>
    <row r="18" spans="9:12">
      <c r="I18" s="12"/>
      <c r="J18" s="12"/>
      <c r="K18" s="12"/>
      <c r="L18" s="12"/>
    </row>
    <row r="19" spans="9:12">
      <c r="I19" s="12"/>
      <c r="J19" s="12"/>
      <c r="K19" s="12"/>
      <c r="L19" s="12"/>
    </row>
    <row r="20" spans="9:12">
      <c r="I20" s="12"/>
      <c r="J20" s="12"/>
      <c r="K20" s="12"/>
      <c r="L20" s="12"/>
    </row>
    <row r="21" spans="9:12">
      <c r="I21" s="13"/>
      <c r="J21" s="12"/>
      <c r="K21" s="12"/>
      <c r="L21" s="12"/>
    </row>
    <row r="24" spans="15:16">
      <c r="O24" s="14"/>
      <c r="P24" s="14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</sheetData>
  <mergeCells count="6">
    <mergeCell ref="A1:C1"/>
    <mergeCell ref="D1:F1"/>
    <mergeCell ref="A2:C2"/>
    <mergeCell ref="D2:F2"/>
    <mergeCell ref="A3:F3"/>
    <mergeCell ref="C17:D17"/>
  </mergeCells>
  <pageMargins left="0.7" right="0.7" top="0.75" bottom="0.75" header="0.3" footer="0.3"/>
  <pageSetup paperSize="9" orientation="portrait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G13" sqref="G1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906</v>
      </c>
      <c r="B1" s="1"/>
      <c r="C1" s="1"/>
      <c r="D1" s="1" t="s">
        <v>902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6807</v>
      </c>
      <c r="B5" s="7" t="s">
        <v>353</v>
      </c>
      <c r="C5" s="7">
        <v>460</v>
      </c>
      <c r="D5" s="7">
        <v>1.2</v>
      </c>
      <c r="E5" s="7">
        <f>C5*D5</f>
        <v>552</v>
      </c>
      <c r="F5" s="7" t="s">
        <v>212</v>
      </c>
    </row>
    <row r="6" spans="3:12">
      <c r="C6" s="8" t="s">
        <v>18</v>
      </c>
      <c r="D6" s="9"/>
      <c r="E6" s="7">
        <f>SUM(E5:E5)</f>
        <v>552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J10" sqref="J1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907</v>
      </c>
      <c r="B1" s="1"/>
      <c r="C1" s="1"/>
      <c r="D1" s="1" t="s">
        <v>902</v>
      </c>
      <c r="E1" s="1"/>
      <c r="F1" s="1"/>
    </row>
    <row r="2" spans="1:6">
      <c r="A2" s="2" t="s">
        <v>773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6621</v>
      </c>
      <c r="B5" s="7" t="s">
        <v>802</v>
      </c>
      <c r="C5" s="7">
        <v>100</v>
      </c>
      <c r="D5" s="7">
        <v>2875</v>
      </c>
      <c r="E5" s="7">
        <f>C5*D5</f>
        <v>287500</v>
      </c>
      <c r="F5" s="7" t="s">
        <v>718</v>
      </c>
    </row>
    <row r="6" spans="1:6">
      <c r="A6" s="16">
        <v>6733</v>
      </c>
      <c r="B6" s="7" t="s">
        <v>344</v>
      </c>
      <c r="C6" s="7">
        <v>100</v>
      </c>
      <c r="D6" s="7">
        <v>2875</v>
      </c>
      <c r="E6" s="7">
        <f t="shared" ref="E6:E12" si="0">C6*D6</f>
        <v>287500</v>
      </c>
      <c r="F6" s="7" t="s">
        <v>718</v>
      </c>
    </row>
    <row r="7" spans="1:6">
      <c r="A7" s="7">
        <v>6671</v>
      </c>
      <c r="B7" s="7" t="s">
        <v>704</v>
      </c>
      <c r="C7" s="7">
        <v>100</v>
      </c>
      <c r="D7" s="7">
        <v>2875</v>
      </c>
      <c r="E7" s="7">
        <f t="shared" si="0"/>
        <v>287500</v>
      </c>
      <c r="F7" s="7" t="s">
        <v>718</v>
      </c>
    </row>
    <row r="8" spans="1:6">
      <c r="A8" s="7">
        <v>6669</v>
      </c>
      <c r="B8" s="7" t="s">
        <v>702</v>
      </c>
      <c r="C8" s="7">
        <v>100</v>
      </c>
      <c r="D8" s="7">
        <v>2875</v>
      </c>
      <c r="E8" s="7">
        <f t="shared" si="0"/>
        <v>287500</v>
      </c>
      <c r="F8" s="7" t="s">
        <v>718</v>
      </c>
    </row>
    <row r="9" spans="1:6">
      <c r="A9" s="7">
        <v>6678</v>
      </c>
      <c r="B9" s="7" t="s">
        <v>251</v>
      </c>
      <c r="C9" s="7">
        <v>100</v>
      </c>
      <c r="D9" s="7">
        <v>2875</v>
      </c>
      <c r="E9" s="7">
        <f t="shared" si="0"/>
        <v>287500</v>
      </c>
      <c r="F9" s="7" t="s">
        <v>718</v>
      </c>
    </row>
    <row r="10" spans="1:6">
      <c r="A10" s="7">
        <v>6674</v>
      </c>
      <c r="B10" s="7" t="s">
        <v>120</v>
      </c>
      <c r="C10" s="7">
        <v>100</v>
      </c>
      <c r="D10" s="7">
        <v>2875</v>
      </c>
      <c r="E10" s="7">
        <f t="shared" si="0"/>
        <v>287500</v>
      </c>
      <c r="F10" s="7" t="s">
        <v>718</v>
      </c>
    </row>
    <row r="11" spans="1:6">
      <c r="A11" s="7">
        <v>6545</v>
      </c>
      <c r="B11" s="7" t="s">
        <v>680</v>
      </c>
      <c r="C11" s="7">
        <v>100</v>
      </c>
      <c r="D11" s="7">
        <v>2875</v>
      </c>
      <c r="E11" s="7">
        <f t="shared" si="0"/>
        <v>287500</v>
      </c>
      <c r="F11" s="7" t="s">
        <v>718</v>
      </c>
    </row>
    <row r="12" spans="1:6">
      <c r="A12" s="7">
        <v>6672</v>
      </c>
      <c r="B12" s="7" t="s">
        <v>184</v>
      </c>
      <c r="C12" s="7">
        <v>100</v>
      </c>
      <c r="D12" s="7">
        <v>2875</v>
      </c>
      <c r="E12" s="7">
        <f t="shared" si="0"/>
        <v>287500</v>
      </c>
      <c r="F12" s="7" t="s">
        <v>718</v>
      </c>
    </row>
    <row r="13" spans="3:12">
      <c r="C13" s="8" t="s">
        <v>18</v>
      </c>
      <c r="D13" s="9"/>
      <c r="E13" s="7">
        <f>SUM(E5:E12)</f>
        <v>2300000</v>
      </c>
      <c r="F13" s="12"/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G15" sqref="G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908</v>
      </c>
      <c r="B1" s="1"/>
      <c r="C1" s="1"/>
      <c r="D1" s="1" t="s">
        <v>902</v>
      </c>
      <c r="E1" s="1"/>
      <c r="F1" s="1"/>
    </row>
    <row r="2" spans="1:6">
      <c r="A2" s="2" t="s">
        <v>771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6621</v>
      </c>
      <c r="B5" s="7" t="s">
        <v>802</v>
      </c>
      <c r="C5" s="7">
        <v>400</v>
      </c>
      <c r="D5" s="7">
        <v>2757</v>
      </c>
      <c r="E5" s="7">
        <f t="shared" ref="E5:E12" si="0">C5*D5</f>
        <v>1102800</v>
      </c>
      <c r="F5" s="7" t="s">
        <v>718</v>
      </c>
    </row>
    <row r="6" spans="1:6">
      <c r="A6" s="16">
        <v>6733</v>
      </c>
      <c r="B6" s="7" t="s">
        <v>344</v>
      </c>
      <c r="C6" s="7">
        <v>400</v>
      </c>
      <c r="D6" s="7">
        <v>2757</v>
      </c>
      <c r="E6" s="7">
        <f t="shared" si="0"/>
        <v>1102800</v>
      </c>
      <c r="F6" s="7" t="s">
        <v>718</v>
      </c>
    </row>
    <row r="7" spans="1:6">
      <c r="A7" s="7">
        <v>6671</v>
      </c>
      <c r="B7" s="7" t="s">
        <v>704</v>
      </c>
      <c r="C7" s="7">
        <v>400</v>
      </c>
      <c r="D7" s="7">
        <v>2757</v>
      </c>
      <c r="E7" s="7">
        <f t="shared" si="0"/>
        <v>1102800</v>
      </c>
      <c r="F7" s="7" t="s">
        <v>718</v>
      </c>
    </row>
    <row r="8" spans="1:6">
      <c r="A8" s="7">
        <v>6669</v>
      </c>
      <c r="B8" s="7" t="s">
        <v>702</v>
      </c>
      <c r="C8" s="7">
        <v>400</v>
      </c>
      <c r="D8" s="7">
        <v>2757</v>
      </c>
      <c r="E8" s="7">
        <f t="shared" si="0"/>
        <v>1102800</v>
      </c>
      <c r="F8" s="7" t="s">
        <v>718</v>
      </c>
    </row>
    <row r="9" spans="1:6">
      <c r="A9" s="7">
        <v>6678</v>
      </c>
      <c r="B9" s="7" t="s">
        <v>251</v>
      </c>
      <c r="C9" s="7">
        <v>400</v>
      </c>
      <c r="D9" s="7">
        <v>2757</v>
      </c>
      <c r="E9" s="7">
        <f t="shared" si="0"/>
        <v>1102800</v>
      </c>
      <c r="F9" s="7" t="s">
        <v>718</v>
      </c>
    </row>
    <row r="10" spans="1:6">
      <c r="A10" s="7">
        <v>6674</v>
      </c>
      <c r="B10" s="7" t="s">
        <v>120</v>
      </c>
      <c r="C10" s="7">
        <v>400</v>
      </c>
      <c r="D10" s="7">
        <v>2757</v>
      </c>
      <c r="E10" s="7">
        <f t="shared" si="0"/>
        <v>1102800</v>
      </c>
      <c r="F10" s="7" t="s">
        <v>718</v>
      </c>
    </row>
    <row r="11" spans="1:6">
      <c r="A11" s="7">
        <v>6545</v>
      </c>
      <c r="B11" s="7" t="s">
        <v>680</v>
      </c>
      <c r="C11" s="7">
        <v>400</v>
      </c>
      <c r="D11" s="7">
        <v>2757</v>
      </c>
      <c r="E11" s="7">
        <f t="shared" si="0"/>
        <v>1102800</v>
      </c>
      <c r="F11" s="7" t="s">
        <v>718</v>
      </c>
    </row>
    <row r="12" spans="1:6">
      <c r="A12" s="7">
        <v>6672</v>
      </c>
      <c r="B12" s="7" t="s">
        <v>184</v>
      </c>
      <c r="C12" s="7">
        <v>400</v>
      </c>
      <c r="D12" s="7">
        <v>2757</v>
      </c>
      <c r="E12" s="7">
        <f t="shared" si="0"/>
        <v>1102800</v>
      </c>
      <c r="F12" s="7" t="s">
        <v>718</v>
      </c>
    </row>
    <row r="13" spans="3:12">
      <c r="C13" s="8" t="s">
        <v>18</v>
      </c>
      <c r="D13" s="9"/>
      <c r="E13" s="7">
        <f>SUM(E5:E12)</f>
        <v>8822400</v>
      </c>
      <c r="F13" s="12"/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G17" sqref="G1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909</v>
      </c>
      <c r="B1" s="1"/>
      <c r="C1" s="1"/>
      <c r="D1" s="1" t="s">
        <v>902</v>
      </c>
      <c r="E1" s="1"/>
      <c r="F1" s="1"/>
    </row>
    <row r="2" spans="1:6">
      <c r="A2" s="2" t="s">
        <v>793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6650</v>
      </c>
      <c r="B5" s="7" t="s">
        <v>66</v>
      </c>
      <c r="C5" s="7">
        <v>50</v>
      </c>
      <c r="D5" s="7">
        <v>1.2</v>
      </c>
      <c r="E5" s="7">
        <f>C5*D5</f>
        <v>60</v>
      </c>
      <c r="F5" s="7" t="s">
        <v>570</v>
      </c>
    </row>
    <row r="6" spans="1:6">
      <c r="A6" s="7">
        <v>6651</v>
      </c>
      <c r="B6" s="7" t="s">
        <v>172</v>
      </c>
      <c r="C6" s="7">
        <v>50</v>
      </c>
      <c r="D6" s="7">
        <v>1.2</v>
      </c>
      <c r="E6" s="7">
        <f t="shared" ref="E6:E12" si="0">C6*D6</f>
        <v>60</v>
      </c>
      <c r="F6" s="7" t="s">
        <v>570</v>
      </c>
    </row>
    <row r="7" spans="1:6">
      <c r="A7" s="7">
        <v>6653</v>
      </c>
      <c r="B7" s="7" t="s">
        <v>192</v>
      </c>
      <c r="C7" s="7">
        <v>50</v>
      </c>
      <c r="D7" s="7">
        <v>1.2</v>
      </c>
      <c r="E7" s="7">
        <f t="shared" si="0"/>
        <v>60</v>
      </c>
      <c r="F7" s="7" t="s">
        <v>570</v>
      </c>
    </row>
    <row r="8" spans="1:6">
      <c r="A8" s="16">
        <v>6735</v>
      </c>
      <c r="B8" s="7" t="s">
        <v>233</v>
      </c>
      <c r="C8" s="7">
        <v>50</v>
      </c>
      <c r="D8" s="7">
        <v>1.2</v>
      </c>
      <c r="E8" s="7">
        <f t="shared" si="0"/>
        <v>60</v>
      </c>
      <c r="F8" s="7" t="s">
        <v>570</v>
      </c>
    </row>
    <row r="9" spans="1:6">
      <c r="A9" s="16">
        <v>6736</v>
      </c>
      <c r="B9" s="7" t="s">
        <v>234</v>
      </c>
      <c r="C9" s="7">
        <v>50</v>
      </c>
      <c r="D9" s="7">
        <v>1.2</v>
      </c>
      <c r="E9" s="7">
        <f t="shared" si="0"/>
        <v>60</v>
      </c>
      <c r="F9" s="7" t="s">
        <v>570</v>
      </c>
    </row>
    <row r="10" spans="1:6">
      <c r="A10" s="16">
        <v>6734</v>
      </c>
      <c r="B10" s="7" t="s">
        <v>377</v>
      </c>
      <c r="C10" s="7">
        <v>50</v>
      </c>
      <c r="D10" s="7">
        <v>1.2</v>
      </c>
      <c r="E10" s="7">
        <f t="shared" si="0"/>
        <v>60</v>
      </c>
      <c r="F10" s="7" t="s">
        <v>570</v>
      </c>
    </row>
    <row r="11" spans="1:6">
      <c r="A11" s="16">
        <v>6764</v>
      </c>
      <c r="B11" s="7" t="s">
        <v>910</v>
      </c>
      <c r="C11" s="7">
        <v>50</v>
      </c>
      <c r="D11" s="7">
        <v>1.2</v>
      </c>
      <c r="E11" s="7">
        <f t="shared" si="0"/>
        <v>60</v>
      </c>
      <c r="F11" s="7" t="s">
        <v>611</v>
      </c>
    </row>
    <row r="12" spans="1:6">
      <c r="A12" s="16">
        <v>6769</v>
      </c>
      <c r="B12" s="7" t="s">
        <v>91</v>
      </c>
      <c r="C12" s="7">
        <v>50</v>
      </c>
      <c r="D12" s="7">
        <v>1.2</v>
      </c>
      <c r="E12" s="7">
        <f t="shared" si="0"/>
        <v>60</v>
      </c>
      <c r="F12" s="7" t="s">
        <v>611</v>
      </c>
    </row>
    <row r="13" spans="3:12">
      <c r="C13" s="8" t="s">
        <v>18</v>
      </c>
      <c r="D13" s="9"/>
      <c r="E13" s="7">
        <f>SUM(E5:E12)</f>
        <v>480</v>
      </c>
      <c r="F13" s="12"/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G16" sqref="G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911</v>
      </c>
      <c r="B1" s="1"/>
      <c r="C1" s="1"/>
      <c r="D1" s="1" t="s">
        <v>902</v>
      </c>
      <c r="E1" s="1"/>
      <c r="F1" s="1"/>
    </row>
    <row r="2" spans="1:6">
      <c r="A2" s="2" t="s">
        <v>781</v>
      </c>
      <c r="B2" s="3"/>
      <c r="C2" s="4"/>
      <c r="D2" s="2" t="s">
        <v>4</v>
      </c>
      <c r="E2" s="3"/>
      <c r="F2" s="4"/>
    </row>
    <row r="3" spans="1:6">
      <c r="A3" s="5" t="s">
        <v>5</v>
      </c>
      <c r="B3" s="6"/>
      <c r="C3" s="6"/>
      <c r="D3" s="6"/>
      <c r="E3" s="10"/>
      <c r="F3" s="11"/>
    </row>
    <row r="4" spans="1: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</row>
    <row r="5" spans="1:6">
      <c r="A5" s="7">
        <v>6650</v>
      </c>
      <c r="B5" s="7" t="s">
        <v>66</v>
      </c>
      <c r="C5" s="7">
        <v>350</v>
      </c>
      <c r="D5" s="7">
        <v>1.2</v>
      </c>
      <c r="E5" s="7">
        <f t="shared" ref="E5:E12" si="0">C5*D5</f>
        <v>420</v>
      </c>
      <c r="F5" s="7" t="s">
        <v>570</v>
      </c>
    </row>
    <row r="6" spans="1:6">
      <c r="A6" s="7">
        <v>6651</v>
      </c>
      <c r="B6" s="7" t="s">
        <v>172</v>
      </c>
      <c r="C6" s="7">
        <v>350</v>
      </c>
      <c r="D6" s="7">
        <v>1.2</v>
      </c>
      <c r="E6" s="7">
        <f t="shared" si="0"/>
        <v>420</v>
      </c>
      <c r="F6" s="7" t="s">
        <v>570</v>
      </c>
    </row>
    <row r="7" spans="1:6">
      <c r="A7" s="7">
        <v>6653</v>
      </c>
      <c r="B7" s="7" t="s">
        <v>192</v>
      </c>
      <c r="C7" s="7">
        <v>350</v>
      </c>
      <c r="D7" s="7">
        <v>1.2</v>
      </c>
      <c r="E7" s="7">
        <f t="shared" si="0"/>
        <v>420</v>
      </c>
      <c r="F7" s="7" t="s">
        <v>570</v>
      </c>
    </row>
    <row r="8" spans="1:6">
      <c r="A8" s="16">
        <v>6735</v>
      </c>
      <c r="B8" s="7" t="s">
        <v>233</v>
      </c>
      <c r="C8" s="7">
        <v>350</v>
      </c>
      <c r="D8" s="7">
        <v>1.2</v>
      </c>
      <c r="E8" s="7">
        <f t="shared" si="0"/>
        <v>420</v>
      </c>
      <c r="F8" s="7" t="s">
        <v>570</v>
      </c>
    </row>
    <row r="9" spans="1:6">
      <c r="A9" s="16">
        <v>6736</v>
      </c>
      <c r="B9" s="7" t="s">
        <v>234</v>
      </c>
      <c r="C9" s="7">
        <v>350</v>
      </c>
      <c r="D9" s="7">
        <v>1.2</v>
      </c>
      <c r="E9" s="7">
        <f t="shared" si="0"/>
        <v>420</v>
      </c>
      <c r="F9" s="7" t="s">
        <v>570</v>
      </c>
    </row>
    <row r="10" spans="1:6">
      <c r="A10" s="16">
        <v>6734</v>
      </c>
      <c r="B10" s="7" t="s">
        <v>377</v>
      </c>
      <c r="C10" s="7">
        <v>350</v>
      </c>
      <c r="D10" s="7">
        <v>1.2</v>
      </c>
      <c r="E10" s="7">
        <f t="shared" si="0"/>
        <v>420</v>
      </c>
      <c r="F10" s="7" t="s">
        <v>570</v>
      </c>
    </row>
    <row r="11" spans="1:6">
      <c r="A11" s="16">
        <v>6764</v>
      </c>
      <c r="B11" s="7" t="s">
        <v>910</v>
      </c>
      <c r="C11" s="7">
        <v>350</v>
      </c>
      <c r="D11" s="7">
        <v>1.2</v>
      </c>
      <c r="E11" s="7">
        <f t="shared" si="0"/>
        <v>420</v>
      </c>
      <c r="F11" s="7" t="s">
        <v>611</v>
      </c>
    </row>
    <row r="12" spans="1:6">
      <c r="A12" s="16">
        <v>6769</v>
      </c>
      <c r="B12" s="7" t="s">
        <v>91</v>
      </c>
      <c r="C12" s="7">
        <v>350</v>
      </c>
      <c r="D12" s="7">
        <v>1.2</v>
      </c>
      <c r="E12" s="7">
        <f t="shared" si="0"/>
        <v>420</v>
      </c>
      <c r="F12" s="7" t="s">
        <v>611</v>
      </c>
    </row>
    <row r="13" spans="3:12">
      <c r="C13" s="8" t="s">
        <v>18</v>
      </c>
      <c r="D13" s="9"/>
      <c r="E13" s="7">
        <f>SUM(E5:E12)</f>
        <v>3360</v>
      </c>
      <c r="F13" s="12"/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3"/>
      <c r="J17" s="12"/>
      <c r="K17" s="12"/>
      <c r="L17" s="12"/>
    </row>
    <row r="20" spans="15:16">
      <c r="O20" s="14"/>
      <c r="P20" s="14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</sheetData>
  <mergeCells count="6">
    <mergeCell ref="A1:C1"/>
    <mergeCell ref="D1:F1"/>
    <mergeCell ref="A2:C2"/>
    <mergeCell ref="D2:F2"/>
    <mergeCell ref="A3:F3"/>
    <mergeCell ref="C13:D13"/>
  </mergeCells>
  <pageMargins left="0.7" right="0.7" top="0.75" bottom="0.75" header="0.3" footer="0.3"/>
  <pageSetup paperSize="9" orientation="portrait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16" sqref="H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912</v>
      </c>
      <c r="B1" s="1"/>
      <c r="C1" s="1"/>
      <c r="D1" s="1" t="s">
        <v>902</v>
      </c>
      <c r="E1" s="1"/>
      <c r="F1" s="1"/>
    </row>
    <row r="2" spans="1:16">
      <c r="A2" s="2" t="s">
        <v>773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6622</v>
      </c>
      <c r="B5" s="23" t="s">
        <v>803</v>
      </c>
      <c r="C5" s="7">
        <v>100</v>
      </c>
      <c r="D5" s="7">
        <v>2875</v>
      </c>
      <c r="E5" s="7">
        <f>C5*D5</f>
        <v>287500</v>
      </c>
      <c r="F5" s="7" t="s">
        <v>570</v>
      </c>
      <c r="O5" s="15"/>
      <c r="P5" s="15"/>
    </row>
    <row r="6" spans="3:12">
      <c r="C6" s="8" t="s">
        <v>18</v>
      </c>
      <c r="D6" s="9"/>
      <c r="E6" s="7">
        <f>SUM(E5:E5)</f>
        <v>287500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I35" sqref="I3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913</v>
      </c>
      <c r="B1" s="1"/>
      <c r="C1" s="1"/>
      <c r="D1" s="1" t="s">
        <v>902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6622</v>
      </c>
      <c r="B5" s="23" t="s">
        <v>803</v>
      </c>
      <c r="C5" s="7">
        <v>400</v>
      </c>
      <c r="D5" s="7">
        <v>2757</v>
      </c>
      <c r="E5" s="7">
        <f>C5*D5</f>
        <v>1102800</v>
      </c>
      <c r="F5" s="7" t="s">
        <v>570</v>
      </c>
      <c r="O5" s="15"/>
      <c r="P5" s="15"/>
    </row>
    <row r="6" spans="3:12">
      <c r="C6" s="8" t="s">
        <v>18</v>
      </c>
      <c r="D6" s="9"/>
      <c r="E6" s="7">
        <f>SUM(E5:E5)</f>
        <v>1102800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workbookViewId="0">
      <selection activeCell="H17" sqref="H1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914</v>
      </c>
      <c r="B1" s="1"/>
      <c r="C1" s="1"/>
      <c r="D1" s="1" t="s">
        <v>902</v>
      </c>
      <c r="E1" s="1"/>
      <c r="F1" s="1"/>
    </row>
    <row r="2" spans="1:16">
      <c r="A2" s="2" t="s">
        <v>817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 t="s">
        <v>49</v>
      </c>
      <c r="B5" s="23" t="s">
        <v>682</v>
      </c>
      <c r="C5" s="23">
        <v>350</v>
      </c>
      <c r="D5" s="7">
        <v>2940.6</v>
      </c>
      <c r="E5" s="7">
        <f>C5*D5</f>
        <v>1029210</v>
      </c>
      <c r="F5" s="7" t="s">
        <v>49</v>
      </c>
      <c r="O5" s="15"/>
      <c r="P5" s="15"/>
    </row>
    <row r="6" spans="1:16">
      <c r="A6" s="7" t="s">
        <v>49</v>
      </c>
      <c r="B6" s="23" t="s">
        <v>16</v>
      </c>
      <c r="C6" s="23">
        <v>350</v>
      </c>
      <c r="D6" s="7">
        <v>2940.6</v>
      </c>
      <c r="E6" s="7">
        <f t="shared" ref="E6:E28" si="0">C6*D6</f>
        <v>1029210</v>
      </c>
      <c r="F6" s="7" t="s">
        <v>49</v>
      </c>
      <c r="O6" s="26"/>
      <c r="P6" s="15"/>
    </row>
    <row r="7" spans="1:18">
      <c r="A7" s="7" t="s">
        <v>49</v>
      </c>
      <c r="B7" s="23" t="s">
        <v>185</v>
      </c>
      <c r="C7" s="23">
        <v>350</v>
      </c>
      <c r="D7" s="7">
        <v>2940.6</v>
      </c>
      <c r="E7" s="7">
        <f t="shared" si="0"/>
        <v>1029210</v>
      </c>
      <c r="F7" s="7" t="s">
        <v>49</v>
      </c>
      <c r="O7" s="15"/>
      <c r="P7" s="15"/>
      <c r="Q7" s="14"/>
      <c r="R7" s="14"/>
    </row>
    <row r="8" spans="1:16">
      <c r="A8" s="16" t="s">
        <v>49</v>
      </c>
      <c r="B8" s="23" t="s">
        <v>169</v>
      </c>
      <c r="C8" s="23">
        <v>350</v>
      </c>
      <c r="D8" s="7">
        <v>2940.6</v>
      </c>
      <c r="E8" s="7">
        <f t="shared" si="0"/>
        <v>1029210</v>
      </c>
      <c r="F8" s="7" t="s">
        <v>49</v>
      </c>
      <c r="O8" s="15"/>
      <c r="P8" s="15"/>
    </row>
    <row r="9" spans="1:16">
      <c r="A9" s="16" t="s">
        <v>49</v>
      </c>
      <c r="B9" s="23" t="s">
        <v>94</v>
      </c>
      <c r="C9" s="23">
        <v>350</v>
      </c>
      <c r="D9" s="7">
        <v>2940.6</v>
      </c>
      <c r="E9" s="7">
        <f t="shared" si="0"/>
        <v>1029210</v>
      </c>
      <c r="F9" s="7" t="s">
        <v>49</v>
      </c>
      <c r="O9" s="15"/>
      <c r="P9" s="15"/>
    </row>
    <row r="10" spans="1:16">
      <c r="A10" s="16" t="s">
        <v>49</v>
      </c>
      <c r="B10" s="23" t="s">
        <v>187</v>
      </c>
      <c r="C10" s="23">
        <v>350</v>
      </c>
      <c r="D10" s="7">
        <v>2940.6</v>
      </c>
      <c r="E10" s="7">
        <f t="shared" si="0"/>
        <v>1029210</v>
      </c>
      <c r="F10" s="7" t="s">
        <v>49</v>
      </c>
      <c r="O10" s="15"/>
      <c r="P10" s="15"/>
    </row>
    <row r="11" spans="1:16">
      <c r="A11" s="16" t="s">
        <v>49</v>
      </c>
      <c r="B11" s="23" t="s">
        <v>520</v>
      </c>
      <c r="C11" s="23">
        <v>560</v>
      </c>
      <c r="D11" s="7">
        <v>2940.6</v>
      </c>
      <c r="E11" s="7">
        <f t="shared" si="0"/>
        <v>1646736</v>
      </c>
      <c r="F11" s="7" t="s">
        <v>49</v>
      </c>
      <c r="O11" s="15"/>
      <c r="P11" s="15"/>
    </row>
    <row r="12" spans="1:16">
      <c r="A12" s="16" t="s">
        <v>49</v>
      </c>
      <c r="B12" s="23" t="s">
        <v>179</v>
      </c>
      <c r="C12" s="23">
        <v>350</v>
      </c>
      <c r="D12" s="7">
        <v>2940.6</v>
      </c>
      <c r="E12" s="7">
        <f t="shared" si="0"/>
        <v>1029210</v>
      </c>
      <c r="F12" s="7" t="s">
        <v>49</v>
      </c>
      <c r="O12" s="15"/>
      <c r="P12" s="15"/>
    </row>
    <row r="13" spans="1:16">
      <c r="A13" s="16" t="s">
        <v>49</v>
      </c>
      <c r="B13" s="23" t="s">
        <v>72</v>
      </c>
      <c r="C13" s="23">
        <v>560</v>
      </c>
      <c r="D13" s="7">
        <v>2940.6</v>
      </c>
      <c r="E13" s="7">
        <f t="shared" si="0"/>
        <v>1646736</v>
      </c>
      <c r="F13" s="7" t="s">
        <v>49</v>
      </c>
      <c r="O13" s="15"/>
      <c r="P13" s="15"/>
    </row>
    <row r="14" spans="1:16">
      <c r="A14" s="16" t="s">
        <v>49</v>
      </c>
      <c r="B14" s="23" t="s">
        <v>168</v>
      </c>
      <c r="C14" s="23">
        <v>350</v>
      </c>
      <c r="D14" s="7">
        <v>2940.6</v>
      </c>
      <c r="E14" s="7">
        <f t="shared" si="0"/>
        <v>1029210</v>
      </c>
      <c r="F14" s="7" t="s">
        <v>49</v>
      </c>
      <c r="O14" s="15"/>
      <c r="P14" s="15"/>
    </row>
    <row r="15" spans="1:16">
      <c r="A15" s="16" t="s">
        <v>49</v>
      </c>
      <c r="B15" s="23" t="s">
        <v>176</v>
      </c>
      <c r="C15" s="23">
        <v>350</v>
      </c>
      <c r="D15" s="7">
        <v>2940.6</v>
      </c>
      <c r="E15" s="7">
        <f t="shared" si="0"/>
        <v>1029210</v>
      </c>
      <c r="F15" s="7" t="s">
        <v>49</v>
      </c>
      <c r="O15" s="15"/>
      <c r="P15" s="15"/>
    </row>
    <row r="16" spans="1:16">
      <c r="A16" s="16" t="s">
        <v>49</v>
      </c>
      <c r="B16" s="23" t="s">
        <v>105</v>
      </c>
      <c r="C16" s="23">
        <v>350</v>
      </c>
      <c r="D16" s="7">
        <v>2940.6</v>
      </c>
      <c r="E16" s="7">
        <f t="shared" si="0"/>
        <v>1029210</v>
      </c>
      <c r="F16" s="7" t="s">
        <v>49</v>
      </c>
      <c r="O16" s="15"/>
      <c r="P16" s="15"/>
    </row>
    <row r="17" spans="1:16">
      <c r="A17" s="16" t="s">
        <v>49</v>
      </c>
      <c r="B17" s="23" t="s">
        <v>915</v>
      </c>
      <c r="C17" s="23">
        <v>350</v>
      </c>
      <c r="D17" s="7">
        <v>2940.6</v>
      </c>
      <c r="E17" s="7">
        <f t="shared" si="0"/>
        <v>1029210</v>
      </c>
      <c r="F17" s="7" t="s">
        <v>49</v>
      </c>
      <c r="O17" s="15"/>
      <c r="P17" s="15"/>
    </row>
    <row r="18" spans="1:16">
      <c r="A18" s="16" t="s">
        <v>49</v>
      </c>
      <c r="B18" s="23" t="s">
        <v>108</v>
      </c>
      <c r="C18" s="23">
        <v>350</v>
      </c>
      <c r="D18" s="7">
        <v>2940.6</v>
      </c>
      <c r="E18" s="7">
        <f t="shared" si="0"/>
        <v>1029210</v>
      </c>
      <c r="F18" s="7" t="s">
        <v>49</v>
      </c>
      <c r="O18" s="15"/>
      <c r="P18" s="15"/>
    </row>
    <row r="19" spans="1:16">
      <c r="A19" s="16" t="s">
        <v>49</v>
      </c>
      <c r="B19" s="23" t="s">
        <v>106</v>
      </c>
      <c r="C19" s="23">
        <v>350</v>
      </c>
      <c r="D19" s="7">
        <v>2940.6</v>
      </c>
      <c r="E19" s="7">
        <f t="shared" si="0"/>
        <v>1029210</v>
      </c>
      <c r="F19" s="7" t="s">
        <v>49</v>
      </c>
      <c r="O19" s="15"/>
      <c r="P19" s="15"/>
    </row>
    <row r="20" spans="1:16">
      <c r="A20" s="16" t="s">
        <v>49</v>
      </c>
      <c r="B20" s="23" t="s">
        <v>186</v>
      </c>
      <c r="C20" s="23">
        <v>350</v>
      </c>
      <c r="D20" s="7">
        <v>2940.6</v>
      </c>
      <c r="E20" s="7">
        <f t="shared" si="0"/>
        <v>1029210</v>
      </c>
      <c r="F20" s="7" t="s">
        <v>49</v>
      </c>
      <c r="O20" s="15"/>
      <c r="P20" s="15"/>
    </row>
    <row r="21" spans="1:6">
      <c r="A21" s="16" t="s">
        <v>49</v>
      </c>
      <c r="B21" s="23" t="s">
        <v>171</v>
      </c>
      <c r="C21" s="23">
        <v>350</v>
      </c>
      <c r="D21" s="7">
        <v>2940.6</v>
      </c>
      <c r="E21" s="7">
        <f t="shared" si="0"/>
        <v>1029210</v>
      </c>
      <c r="F21" s="7" t="s">
        <v>49</v>
      </c>
    </row>
    <row r="22" spans="1:6">
      <c r="A22" s="16" t="s">
        <v>49</v>
      </c>
      <c r="B22" s="23" t="s">
        <v>71</v>
      </c>
      <c r="C22" s="23">
        <v>560</v>
      </c>
      <c r="D22" s="7">
        <v>2940.6</v>
      </c>
      <c r="E22" s="7">
        <f t="shared" si="0"/>
        <v>1646736</v>
      </c>
      <c r="F22" s="7" t="s">
        <v>49</v>
      </c>
    </row>
    <row r="23" spans="1:6">
      <c r="A23" s="16" t="s">
        <v>49</v>
      </c>
      <c r="B23" s="7" t="s">
        <v>343</v>
      </c>
      <c r="C23" s="7">
        <v>60</v>
      </c>
      <c r="D23" s="7">
        <v>2940.6</v>
      </c>
      <c r="E23" s="7">
        <f t="shared" si="0"/>
        <v>176436</v>
      </c>
      <c r="F23" s="7" t="s">
        <v>49</v>
      </c>
    </row>
    <row r="24" spans="1:6">
      <c r="A24" s="16" t="s">
        <v>49</v>
      </c>
      <c r="B24" s="7" t="s">
        <v>916</v>
      </c>
      <c r="C24" s="7">
        <v>350</v>
      </c>
      <c r="D24" s="7">
        <v>2940.6</v>
      </c>
      <c r="E24" s="7">
        <f t="shared" si="0"/>
        <v>1029210</v>
      </c>
      <c r="F24" s="16" t="s">
        <v>49</v>
      </c>
    </row>
    <row r="25" spans="1:6">
      <c r="A25" s="16" t="s">
        <v>49</v>
      </c>
      <c r="B25" s="7" t="s">
        <v>917</v>
      </c>
      <c r="C25" s="7">
        <v>350</v>
      </c>
      <c r="D25" s="7">
        <v>2940.6</v>
      </c>
      <c r="E25" s="7">
        <f t="shared" si="0"/>
        <v>1029210</v>
      </c>
      <c r="F25" s="16" t="s">
        <v>49</v>
      </c>
    </row>
    <row r="26" spans="1:6">
      <c r="A26" s="16" t="s">
        <v>49</v>
      </c>
      <c r="B26" s="7" t="s">
        <v>918</v>
      </c>
      <c r="C26" s="7">
        <v>350</v>
      </c>
      <c r="D26" s="7">
        <v>2940.6</v>
      </c>
      <c r="E26" s="7">
        <f t="shared" si="0"/>
        <v>1029210</v>
      </c>
      <c r="F26" s="16" t="s">
        <v>49</v>
      </c>
    </row>
    <row r="27" spans="1:6">
      <c r="A27" s="24" t="s">
        <v>49</v>
      </c>
      <c r="B27" s="7" t="s">
        <v>919</v>
      </c>
      <c r="C27" s="7">
        <v>350</v>
      </c>
      <c r="D27" s="7">
        <v>2940.6</v>
      </c>
      <c r="E27" s="7">
        <f t="shared" si="0"/>
        <v>1029210</v>
      </c>
      <c r="F27" s="24" t="s">
        <v>49</v>
      </c>
    </row>
    <row r="28" spans="1:6">
      <c r="A28" s="16" t="s">
        <v>49</v>
      </c>
      <c r="B28" s="25" t="s">
        <v>920</v>
      </c>
      <c r="C28" s="7">
        <v>40</v>
      </c>
      <c r="D28" s="7">
        <v>2940.6</v>
      </c>
      <c r="E28" s="7">
        <f t="shared" si="0"/>
        <v>117624</v>
      </c>
      <c r="F28" s="16" t="s">
        <v>49</v>
      </c>
    </row>
    <row r="29" spans="3:12">
      <c r="C29" s="8" t="s">
        <v>18</v>
      </c>
      <c r="D29" s="9"/>
      <c r="E29" s="8">
        <f>SUM(E5:E28)</f>
        <v>24789258</v>
      </c>
      <c r="F29" s="12"/>
      <c r="I29" s="12"/>
      <c r="J29" s="12"/>
      <c r="K29" s="12"/>
      <c r="L29" s="12"/>
    </row>
    <row r="30" spans="9:12">
      <c r="I30" s="12"/>
      <c r="J30" s="12"/>
      <c r="K30" s="12"/>
      <c r="L30" s="12"/>
    </row>
    <row r="31" spans="9:12">
      <c r="I31" s="12"/>
      <c r="J31" s="12"/>
      <c r="K31" s="12"/>
      <c r="L31" s="12"/>
    </row>
    <row r="32" spans="9:12">
      <c r="I32" s="12"/>
      <c r="J32" s="12"/>
      <c r="K32" s="12"/>
      <c r="L32" s="12"/>
    </row>
    <row r="33" spans="9:12">
      <c r="I33" s="13"/>
      <c r="J33" s="12"/>
      <c r="K33" s="12"/>
      <c r="L33" s="12"/>
    </row>
    <row r="36" spans="15:16">
      <c r="O36" s="14"/>
      <c r="P36" s="14"/>
    </row>
    <row r="37" spans="15:16">
      <c r="O37" s="15"/>
      <c r="P37" s="15"/>
    </row>
    <row r="38" spans="15:16">
      <c r="O38" s="15"/>
      <c r="P38" s="15"/>
    </row>
    <row r="39" spans="15:16">
      <c r="O39" s="15"/>
      <c r="P39" s="15"/>
    </row>
    <row r="40" spans="15:16">
      <c r="O40" s="15"/>
      <c r="P40" s="15"/>
    </row>
    <row r="41" spans="15:16">
      <c r="O41" s="15"/>
      <c r="P41" s="15"/>
    </row>
    <row r="42" spans="15:16">
      <c r="O42" s="15"/>
      <c r="P42" s="15"/>
    </row>
    <row r="43" spans="15:16">
      <c r="O43" s="15"/>
      <c r="P43" s="15"/>
    </row>
    <row r="44" spans="15:16">
      <c r="O44" s="15"/>
      <c r="P44" s="15"/>
    </row>
    <row r="45" spans="15:16">
      <c r="O45" s="15"/>
      <c r="P45" s="15"/>
    </row>
  </sheetData>
  <mergeCells count="6">
    <mergeCell ref="A1:C1"/>
    <mergeCell ref="D1:F1"/>
    <mergeCell ref="A2:C2"/>
    <mergeCell ref="D2:F2"/>
    <mergeCell ref="A3:F3"/>
    <mergeCell ref="C29:D29"/>
  </mergeCells>
  <pageMargins left="0.7" right="0.7" top="0.75" bottom="0.75" header="0.3" footer="0.3"/>
  <pageSetup paperSize="9" orientation="portrait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G18" sqref="G1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921</v>
      </c>
      <c r="B1" s="1"/>
      <c r="C1" s="1"/>
      <c r="D1" s="1" t="s">
        <v>902</v>
      </c>
      <c r="E1" s="1"/>
      <c r="F1" s="1"/>
    </row>
    <row r="2" spans="1:16">
      <c r="A2" s="2" t="s">
        <v>841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6723</v>
      </c>
      <c r="B5" s="23" t="s">
        <v>352</v>
      </c>
      <c r="C5" s="23">
        <v>430</v>
      </c>
      <c r="D5" s="7">
        <v>2710</v>
      </c>
      <c r="E5" s="7">
        <f>C5*D5</f>
        <v>1165300</v>
      </c>
      <c r="F5" s="7" t="s">
        <v>212</v>
      </c>
      <c r="O5" s="15"/>
      <c r="P5" s="15"/>
    </row>
    <row r="6" spans="3:12">
      <c r="C6" s="8" t="s">
        <v>18</v>
      </c>
      <c r="D6" s="9"/>
      <c r="E6" s="8">
        <f>SUM(E5:E5)</f>
        <v>1165300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F12" sqref="F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922</v>
      </c>
      <c r="B1" s="1"/>
      <c r="C1" s="1"/>
      <c r="D1" s="1" t="s">
        <v>902</v>
      </c>
      <c r="E1" s="1"/>
      <c r="F1" s="1"/>
    </row>
    <row r="2" spans="1:16">
      <c r="A2" s="2" t="s">
        <v>773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6408</v>
      </c>
      <c r="B5" s="23" t="s">
        <v>239</v>
      </c>
      <c r="C5" s="23">
        <v>100</v>
      </c>
      <c r="D5" s="7">
        <v>2875</v>
      </c>
      <c r="E5" s="7">
        <f>C5*D5</f>
        <v>287500</v>
      </c>
      <c r="F5" s="7" t="s">
        <v>570</v>
      </c>
      <c r="O5" s="15"/>
      <c r="P5" s="15"/>
    </row>
    <row r="6" spans="3:12">
      <c r="C6" s="8" t="s">
        <v>18</v>
      </c>
      <c r="D6" s="9"/>
      <c r="E6" s="8">
        <f>SUM(E5:E5)</f>
        <v>287500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G14" sqref="G1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923</v>
      </c>
      <c r="B1" s="1"/>
      <c r="C1" s="1"/>
      <c r="D1" s="1" t="s">
        <v>902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6408</v>
      </c>
      <c r="B5" s="23" t="s">
        <v>239</v>
      </c>
      <c r="C5" s="23">
        <v>400</v>
      </c>
      <c r="D5" s="7">
        <v>2757</v>
      </c>
      <c r="E5" s="7">
        <f>C5*D5</f>
        <v>1102800</v>
      </c>
      <c r="F5" s="7" t="s">
        <v>570</v>
      </c>
      <c r="O5" s="15"/>
      <c r="P5" s="15"/>
    </row>
    <row r="6" spans="3:12">
      <c r="C6" s="8" t="s">
        <v>18</v>
      </c>
      <c r="D6" s="9"/>
      <c r="E6" s="8">
        <f>SUM(E5:E5)</f>
        <v>1102800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F20" sqref="F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924</v>
      </c>
      <c r="B1" s="1"/>
      <c r="C1" s="1"/>
      <c r="D1" s="1" t="s">
        <v>925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6723</v>
      </c>
      <c r="B5" s="7" t="s">
        <v>352</v>
      </c>
      <c r="C5" s="7">
        <v>450</v>
      </c>
      <c r="D5" s="7">
        <v>2757</v>
      </c>
      <c r="E5" s="7">
        <f>C5*D5</f>
        <v>1240650</v>
      </c>
      <c r="F5" s="7" t="s">
        <v>655</v>
      </c>
      <c r="O5" s="15"/>
      <c r="P5" s="15"/>
    </row>
    <row r="6" spans="1:16">
      <c r="A6" s="7">
        <v>6550</v>
      </c>
      <c r="B6" s="7" t="s">
        <v>221</v>
      </c>
      <c r="C6" s="7">
        <v>450</v>
      </c>
      <c r="D6" s="7">
        <v>2757</v>
      </c>
      <c r="E6" s="7">
        <f>C6*D6</f>
        <v>1240650</v>
      </c>
      <c r="F6" s="7" t="s">
        <v>655</v>
      </c>
      <c r="O6" s="15"/>
      <c r="P6" s="15"/>
    </row>
    <row r="7" spans="1:16">
      <c r="A7" s="7">
        <v>6783</v>
      </c>
      <c r="B7" s="7" t="s">
        <v>284</v>
      </c>
      <c r="C7" s="7">
        <v>450</v>
      </c>
      <c r="D7" s="7">
        <v>2757</v>
      </c>
      <c r="E7" s="7">
        <f>C7*D7</f>
        <v>1240650</v>
      </c>
      <c r="F7" s="7" t="s">
        <v>655</v>
      </c>
      <c r="O7" s="15"/>
      <c r="P7" s="15"/>
    </row>
    <row r="8" spans="1:16">
      <c r="A8" s="7">
        <v>6787</v>
      </c>
      <c r="B8" s="7" t="s">
        <v>288</v>
      </c>
      <c r="C8" s="7">
        <v>463</v>
      </c>
      <c r="D8" s="7">
        <v>2757</v>
      </c>
      <c r="E8" s="7">
        <f>C8*D8</f>
        <v>1276491</v>
      </c>
      <c r="F8" s="7" t="s">
        <v>655</v>
      </c>
      <c r="O8" s="15"/>
      <c r="P8" s="15"/>
    </row>
    <row r="9" spans="1:16">
      <c r="A9" s="7">
        <v>6784</v>
      </c>
      <c r="B9" s="7" t="s">
        <v>285</v>
      </c>
      <c r="C9" s="7">
        <v>450</v>
      </c>
      <c r="D9" s="7">
        <v>2757</v>
      </c>
      <c r="E9" s="7">
        <f>C9*D9</f>
        <v>1240650</v>
      </c>
      <c r="F9" s="7" t="s">
        <v>655</v>
      </c>
      <c r="O9" s="15"/>
      <c r="P9" s="15"/>
    </row>
    <row r="10" spans="3:12">
      <c r="C10" s="8" t="s">
        <v>18</v>
      </c>
      <c r="D10" s="9"/>
      <c r="E10" s="8">
        <f>SUM(E5:E9)</f>
        <v>6239091</v>
      </c>
      <c r="F10" s="12"/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2"/>
      <c r="J12" s="12"/>
      <c r="K12" s="12"/>
      <c r="L12" s="12"/>
    </row>
    <row r="13" spans="9:12">
      <c r="I13" s="12"/>
      <c r="J13" s="12"/>
      <c r="K13" s="12"/>
      <c r="L13" s="12"/>
    </row>
    <row r="14" spans="9:12">
      <c r="I14" s="13"/>
      <c r="J14" s="12"/>
      <c r="K14" s="12"/>
      <c r="L14" s="12"/>
    </row>
    <row r="17" spans="15:16">
      <c r="O17" s="14"/>
      <c r="P17" s="14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pageSetup paperSize="9" orientation="portrait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workbookViewId="0">
      <selection activeCell="I17" sqref="I1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926</v>
      </c>
      <c r="B1" s="1"/>
      <c r="C1" s="1"/>
      <c r="D1" s="1" t="s">
        <v>925</v>
      </c>
      <c r="E1" s="1"/>
      <c r="F1" s="1"/>
    </row>
    <row r="2" spans="1:16">
      <c r="A2" s="2" t="s">
        <v>773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6657</v>
      </c>
      <c r="B5" s="7" t="s">
        <v>179</v>
      </c>
      <c r="C5" s="7">
        <v>100</v>
      </c>
      <c r="D5" s="7">
        <v>2875</v>
      </c>
      <c r="E5" s="7">
        <f>C5*D5</f>
        <v>287500</v>
      </c>
      <c r="F5" s="7" t="s">
        <v>570</v>
      </c>
      <c r="O5" s="15"/>
      <c r="P5" s="15"/>
    </row>
    <row r="6" spans="1:16">
      <c r="A6" s="7">
        <v>6662</v>
      </c>
      <c r="B6" s="7" t="s">
        <v>169</v>
      </c>
      <c r="C6" s="7">
        <v>100</v>
      </c>
      <c r="D6" s="7">
        <v>2875</v>
      </c>
      <c r="E6" s="7">
        <f t="shared" ref="E6:E19" si="0">C6*D6</f>
        <v>287500</v>
      </c>
      <c r="F6" s="7" t="s">
        <v>570</v>
      </c>
      <c r="O6" s="15"/>
      <c r="P6" s="15"/>
    </row>
    <row r="7" spans="1:16">
      <c r="A7" s="7">
        <v>6645</v>
      </c>
      <c r="B7" s="7" t="s">
        <v>682</v>
      </c>
      <c r="C7" s="7">
        <v>100</v>
      </c>
      <c r="D7" s="7">
        <v>2875</v>
      </c>
      <c r="E7" s="7">
        <f t="shared" si="0"/>
        <v>287500</v>
      </c>
      <c r="F7" s="7" t="s">
        <v>570</v>
      </c>
      <c r="O7" s="15"/>
      <c r="P7" s="15"/>
    </row>
    <row r="8" spans="1:16">
      <c r="A8" s="19">
        <v>6822</v>
      </c>
      <c r="B8" s="7" t="s">
        <v>108</v>
      </c>
      <c r="C8" s="7">
        <v>100</v>
      </c>
      <c r="D8" s="7">
        <v>2875</v>
      </c>
      <c r="E8" s="7">
        <f t="shared" si="0"/>
        <v>287500</v>
      </c>
      <c r="F8" s="7" t="s">
        <v>570</v>
      </c>
      <c r="O8" s="15"/>
      <c r="P8" s="15"/>
    </row>
    <row r="9" spans="1:16">
      <c r="A9" s="7">
        <v>6656</v>
      </c>
      <c r="B9" s="7" t="s">
        <v>176</v>
      </c>
      <c r="C9" s="7">
        <v>100</v>
      </c>
      <c r="D9" s="7">
        <v>2875</v>
      </c>
      <c r="E9" s="7">
        <f t="shared" si="0"/>
        <v>287500</v>
      </c>
      <c r="F9" s="7" t="s">
        <v>570</v>
      </c>
      <c r="O9" s="15"/>
      <c r="P9" s="15"/>
    </row>
    <row r="10" spans="1:16">
      <c r="A10" s="16">
        <v>6771</v>
      </c>
      <c r="B10" s="7" t="s">
        <v>804</v>
      </c>
      <c r="C10" s="7">
        <v>100</v>
      </c>
      <c r="D10" s="7">
        <v>2875</v>
      </c>
      <c r="E10" s="7">
        <f t="shared" si="0"/>
        <v>287500</v>
      </c>
      <c r="F10" s="7" t="s">
        <v>570</v>
      </c>
      <c r="O10" s="15"/>
      <c r="P10" s="15"/>
    </row>
    <row r="11" spans="1:16">
      <c r="A11" s="7">
        <v>6619</v>
      </c>
      <c r="B11" s="7" t="s">
        <v>801</v>
      </c>
      <c r="C11" s="7">
        <v>100</v>
      </c>
      <c r="D11" s="7">
        <v>2875</v>
      </c>
      <c r="E11" s="7">
        <f t="shared" si="0"/>
        <v>287500</v>
      </c>
      <c r="F11" s="7" t="s">
        <v>570</v>
      </c>
      <c r="O11" s="15"/>
      <c r="P11" s="15"/>
    </row>
    <row r="12" spans="1:16">
      <c r="A12" s="7">
        <v>6670</v>
      </c>
      <c r="B12" s="7" t="s">
        <v>703</v>
      </c>
      <c r="C12" s="7">
        <v>100</v>
      </c>
      <c r="D12" s="7">
        <v>2875</v>
      </c>
      <c r="E12" s="7">
        <f t="shared" si="0"/>
        <v>287500</v>
      </c>
      <c r="F12" s="7" t="s">
        <v>570</v>
      </c>
      <c r="O12" s="15"/>
      <c r="P12" s="15"/>
    </row>
    <row r="13" spans="1:16">
      <c r="A13" s="7">
        <v>6659</v>
      </c>
      <c r="B13" s="7" t="s">
        <v>105</v>
      </c>
      <c r="C13" s="7">
        <v>100</v>
      </c>
      <c r="D13" s="7">
        <v>2875</v>
      </c>
      <c r="E13" s="7">
        <f t="shared" si="0"/>
        <v>287500</v>
      </c>
      <c r="F13" s="7" t="s">
        <v>570</v>
      </c>
      <c r="O13" s="15"/>
      <c r="P13" s="15"/>
    </row>
    <row r="14" spans="1:16">
      <c r="A14" s="7">
        <v>6663</v>
      </c>
      <c r="B14" s="7" t="s">
        <v>94</v>
      </c>
      <c r="C14" s="7">
        <v>100</v>
      </c>
      <c r="D14" s="7">
        <v>2875</v>
      </c>
      <c r="E14" s="7">
        <f t="shared" si="0"/>
        <v>287500</v>
      </c>
      <c r="F14" s="7" t="s">
        <v>570</v>
      </c>
      <c r="O14" s="15"/>
      <c r="P14" s="15"/>
    </row>
    <row r="15" spans="1:16">
      <c r="A15" s="7">
        <v>6658</v>
      </c>
      <c r="B15" s="7" t="s">
        <v>106</v>
      </c>
      <c r="C15" s="7">
        <v>100</v>
      </c>
      <c r="D15" s="7">
        <v>2875</v>
      </c>
      <c r="E15" s="7">
        <f t="shared" si="0"/>
        <v>287500</v>
      </c>
      <c r="F15" s="7" t="s">
        <v>570</v>
      </c>
      <c r="O15" s="15"/>
      <c r="P15" s="15"/>
    </row>
    <row r="16" spans="1:16">
      <c r="A16" s="7">
        <v>6664</v>
      </c>
      <c r="B16" s="7" t="s">
        <v>171</v>
      </c>
      <c r="C16" s="7">
        <v>100</v>
      </c>
      <c r="D16" s="7">
        <v>2875</v>
      </c>
      <c r="E16" s="7">
        <f t="shared" si="0"/>
        <v>287500</v>
      </c>
      <c r="F16" s="7" t="s">
        <v>570</v>
      </c>
      <c r="O16" s="15"/>
      <c r="P16" s="15"/>
    </row>
    <row r="17" spans="1:16">
      <c r="A17" s="19">
        <v>6820</v>
      </c>
      <c r="B17" s="7" t="s">
        <v>186</v>
      </c>
      <c r="C17" s="7">
        <v>100</v>
      </c>
      <c r="D17" s="7">
        <v>2875</v>
      </c>
      <c r="E17" s="7">
        <f t="shared" si="0"/>
        <v>287500</v>
      </c>
      <c r="F17" s="7" t="s">
        <v>570</v>
      </c>
      <c r="O17" s="15"/>
      <c r="P17" s="15"/>
    </row>
    <row r="18" spans="1:16">
      <c r="A18" s="19">
        <v>6817</v>
      </c>
      <c r="B18" s="7" t="s">
        <v>185</v>
      </c>
      <c r="C18" s="7">
        <v>100</v>
      </c>
      <c r="D18" s="7">
        <v>2875</v>
      </c>
      <c r="E18" s="7">
        <f t="shared" si="0"/>
        <v>287500</v>
      </c>
      <c r="F18" s="7" t="s">
        <v>570</v>
      </c>
      <c r="O18" s="15"/>
      <c r="P18" s="15"/>
    </row>
    <row r="19" spans="1:16">
      <c r="A19" s="7">
        <v>6660</v>
      </c>
      <c r="B19" s="7" t="s">
        <v>168</v>
      </c>
      <c r="C19" s="7">
        <v>100</v>
      </c>
      <c r="D19" s="7">
        <v>2875</v>
      </c>
      <c r="E19" s="7">
        <f t="shared" si="0"/>
        <v>287500</v>
      </c>
      <c r="F19" s="7" t="s">
        <v>570</v>
      </c>
      <c r="O19" s="15"/>
      <c r="P19" s="15"/>
    </row>
    <row r="20" spans="3:12">
      <c r="C20" s="8" t="s">
        <v>18</v>
      </c>
      <c r="D20" s="9"/>
      <c r="E20" s="8">
        <f>SUM(E5:E19)</f>
        <v>4312500</v>
      </c>
      <c r="F20" s="12"/>
      <c r="I20" s="12"/>
      <c r="J20" s="12"/>
      <c r="K20" s="12"/>
      <c r="L20" s="12"/>
    </row>
    <row r="21" spans="9:12">
      <c r="I21" s="12"/>
      <c r="J21" s="12"/>
      <c r="K21" s="12"/>
      <c r="L21" s="12"/>
    </row>
    <row r="22" spans="9:12">
      <c r="I22" s="12"/>
      <c r="J22" s="12"/>
      <c r="K22" s="12"/>
      <c r="L22" s="12"/>
    </row>
    <row r="23" spans="9:12">
      <c r="I23" s="12"/>
      <c r="J23" s="12"/>
      <c r="K23" s="12"/>
      <c r="L23" s="12"/>
    </row>
    <row r="24" spans="9:12">
      <c r="I24" s="13"/>
      <c r="J24" s="12"/>
      <c r="K24" s="12"/>
      <c r="L24" s="12"/>
    </row>
    <row r="27" spans="15:16">
      <c r="O27" s="14"/>
      <c r="P27" s="14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  <row r="36" spans="15:16">
      <c r="O36" s="15"/>
      <c r="P36" s="15"/>
    </row>
  </sheetData>
  <mergeCells count="6">
    <mergeCell ref="A1:C1"/>
    <mergeCell ref="D1:F1"/>
    <mergeCell ref="A2:C2"/>
    <mergeCell ref="D2:F2"/>
    <mergeCell ref="A3:F3"/>
    <mergeCell ref="C20:D20"/>
  </mergeCells>
  <pageMargins left="0.7" right="0.7" top="0.75" bottom="0.75" header="0.3" footer="0.3"/>
  <pageSetup paperSize="9" orientation="portrait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workbookViewId="0">
      <selection activeCell="J13" sqref="J1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927</v>
      </c>
      <c r="B1" s="1"/>
      <c r="C1" s="1"/>
      <c r="D1" s="1" t="s">
        <v>925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6657</v>
      </c>
      <c r="B5" s="7" t="s">
        <v>179</v>
      </c>
      <c r="C5" s="7">
        <v>400</v>
      </c>
      <c r="D5" s="7">
        <v>2757</v>
      </c>
      <c r="E5" s="7">
        <f>C5*D5</f>
        <v>1102800</v>
      </c>
      <c r="F5" s="7" t="s">
        <v>570</v>
      </c>
      <c r="O5" s="15"/>
      <c r="P5" s="15"/>
    </row>
    <row r="6" spans="1:16">
      <c r="A6" s="7">
        <v>6662</v>
      </c>
      <c r="B6" s="7" t="s">
        <v>169</v>
      </c>
      <c r="C6" s="7">
        <v>400</v>
      </c>
      <c r="D6" s="7">
        <v>2757</v>
      </c>
      <c r="E6" s="7">
        <f t="shared" ref="E6:E19" si="0">C6*D6</f>
        <v>1102800</v>
      </c>
      <c r="F6" s="7" t="s">
        <v>570</v>
      </c>
      <c r="O6" s="15"/>
      <c r="P6" s="15"/>
    </row>
    <row r="7" spans="1:16">
      <c r="A7" s="7">
        <v>6645</v>
      </c>
      <c r="B7" s="7" t="s">
        <v>682</v>
      </c>
      <c r="C7" s="7">
        <v>400</v>
      </c>
      <c r="D7" s="7">
        <v>2757</v>
      </c>
      <c r="E7" s="7">
        <f t="shared" si="0"/>
        <v>1102800</v>
      </c>
      <c r="F7" s="7" t="s">
        <v>570</v>
      </c>
      <c r="O7" s="15"/>
      <c r="P7" s="15"/>
    </row>
    <row r="8" spans="1:16">
      <c r="A8" s="19">
        <v>6822</v>
      </c>
      <c r="B8" s="7" t="s">
        <v>108</v>
      </c>
      <c r="C8" s="7">
        <v>300</v>
      </c>
      <c r="D8" s="7">
        <v>2757</v>
      </c>
      <c r="E8" s="7">
        <f t="shared" si="0"/>
        <v>827100</v>
      </c>
      <c r="F8" s="7" t="s">
        <v>570</v>
      </c>
      <c r="O8" s="15"/>
      <c r="P8" s="15"/>
    </row>
    <row r="9" spans="1:16">
      <c r="A9" s="7">
        <v>6656</v>
      </c>
      <c r="B9" s="7" t="s">
        <v>176</v>
      </c>
      <c r="C9" s="7">
        <v>400</v>
      </c>
      <c r="D9" s="7">
        <v>2757</v>
      </c>
      <c r="E9" s="7">
        <f t="shared" si="0"/>
        <v>1102800</v>
      </c>
      <c r="F9" s="7" t="s">
        <v>570</v>
      </c>
      <c r="O9" s="15"/>
      <c r="P9" s="15"/>
    </row>
    <row r="10" spans="1:16">
      <c r="A10" s="16">
        <v>6771</v>
      </c>
      <c r="B10" s="7" t="s">
        <v>804</v>
      </c>
      <c r="C10" s="7">
        <v>400</v>
      </c>
      <c r="D10" s="7">
        <v>2757</v>
      </c>
      <c r="E10" s="7">
        <f t="shared" si="0"/>
        <v>1102800</v>
      </c>
      <c r="F10" s="7" t="s">
        <v>570</v>
      </c>
      <c r="O10" s="15"/>
      <c r="P10" s="15"/>
    </row>
    <row r="11" spans="1:16">
      <c r="A11" s="7">
        <v>6619</v>
      </c>
      <c r="B11" s="7" t="s">
        <v>801</v>
      </c>
      <c r="C11" s="7">
        <v>400</v>
      </c>
      <c r="D11" s="7">
        <v>2757</v>
      </c>
      <c r="E11" s="7">
        <f t="shared" si="0"/>
        <v>1102800</v>
      </c>
      <c r="F11" s="7" t="s">
        <v>570</v>
      </c>
      <c r="O11" s="15"/>
      <c r="P11" s="15"/>
    </row>
    <row r="12" spans="1:16">
      <c r="A12" s="7">
        <v>6670</v>
      </c>
      <c r="B12" s="7" t="s">
        <v>703</v>
      </c>
      <c r="C12" s="7">
        <v>400</v>
      </c>
      <c r="D12" s="7">
        <v>2757</v>
      </c>
      <c r="E12" s="7">
        <f t="shared" si="0"/>
        <v>1102800</v>
      </c>
      <c r="F12" s="7" t="s">
        <v>570</v>
      </c>
      <c r="O12" s="15"/>
      <c r="P12" s="15"/>
    </row>
    <row r="13" spans="1:16">
      <c r="A13" s="7">
        <v>6659</v>
      </c>
      <c r="B13" s="7" t="s">
        <v>105</v>
      </c>
      <c r="C13" s="7">
        <v>400</v>
      </c>
      <c r="D13" s="7">
        <v>2757</v>
      </c>
      <c r="E13" s="7">
        <f t="shared" si="0"/>
        <v>1102800</v>
      </c>
      <c r="F13" s="7" t="s">
        <v>570</v>
      </c>
      <c r="O13" s="15"/>
      <c r="P13" s="15"/>
    </row>
    <row r="14" spans="1:16">
      <c r="A14" s="7">
        <v>6663</v>
      </c>
      <c r="B14" s="7" t="s">
        <v>94</v>
      </c>
      <c r="C14" s="7">
        <v>400</v>
      </c>
      <c r="D14" s="7">
        <v>2757</v>
      </c>
      <c r="E14" s="7">
        <f t="shared" si="0"/>
        <v>1102800</v>
      </c>
      <c r="F14" s="7" t="s">
        <v>570</v>
      </c>
      <c r="O14" s="15"/>
      <c r="P14" s="15"/>
    </row>
    <row r="15" spans="1:16">
      <c r="A15" s="7">
        <v>6658</v>
      </c>
      <c r="B15" s="7" t="s">
        <v>106</v>
      </c>
      <c r="C15" s="7">
        <v>400</v>
      </c>
      <c r="D15" s="7">
        <v>2757</v>
      </c>
      <c r="E15" s="7">
        <f t="shared" si="0"/>
        <v>1102800</v>
      </c>
      <c r="F15" s="7" t="s">
        <v>570</v>
      </c>
      <c r="O15" s="15"/>
      <c r="P15" s="15"/>
    </row>
    <row r="16" spans="1:16">
      <c r="A16" s="7">
        <v>6664</v>
      </c>
      <c r="B16" s="7" t="s">
        <v>171</v>
      </c>
      <c r="C16" s="7">
        <v>400</v>
      </c>
      <c r="D16" s="7">
        <v>2757</v>
      </c>
      <c r="E16" s="7">
        <f t="shared" si="0"/>
        <v>1102800</v>
      </c>
      <c r="F16" s="7" t="s">
        <v>570</v>
      </c>
      <c r="O16" s="15"/>
      <c r="P16" s="15"/>
    </row>
    <row r="17" spans="1:16">
      <c r="A17" s="19">
        <v>6820</v>
      </c>
      <c r="B17" s="7" t="s">
        <v>186</v>
      </c>
      <c r="C17" s="7">
        <v>400</v>
      </c>
      <c r="D17" s="7">
        <v>2757</v>
      </c>
      <c r="E17" s="7">
        <f t="shared" si="0"/>
        <v>1102800</v>
      </c>
      <c r="F17" s="7" t="s">
        <v>570</v>
      </c>
      <c r="O17" s="15"/>
      <c r="P17" s="15"/>
    </row>
    <row r="18" spans="1:16">
      <c r="A18" s="19">
        <v>6817</v>
      </c>
      <c r="B18" s="7" t="s">
        <v>185</v>
      </c>
      <c r="C18" s="7">
        <v>350</v>
      </c>
      <c r="D18" s="7">
        <v>2757</v>
      </c>
      <c r="E18" s="7">
        <f t="shared" si="0"/>
        <v>964950</v>
      </c>
      <c r="F18" s="7" t="s">
        <v>570</v>
      </c>
      <c r="O18" s="15"/>
      <c r="P18" s="15"/>
    </row>
    <row r="19" spans="1:16">
      <c r="A19" s="7">
        <v>6660</v>
      </c>
      <c r="B19" s="7" t="s">
        <v>168</v>
      </c>
      <c r="C19" s="7">
        <v>400</v>
      </c>
      <c r="D19" s="7">
        <v>2757</v>
      </c>
      <c r="E19" s="7">
        <f t="shared" si="0"/>
        <v>1102800</v>
      </c>
      <c r="F19" s="7" t="s">
        <v>570</v>
      </c>
      <c r="O19" s="15"/>
      <c r="P19" s="15"/>
    </row>
    <row r="20" spans="3:12">
      <c r="C20" s="8" t="s">
        <v>18</v>
      </c>
      <c r="D20" s="9"/>
      <c r="E20" s="8">
        <f>SUM(E5:E19)</f>
        <v>16128450</v>
      </c>
      <c r="F20" s="12"/>
      <c r="I20" s="12"/>
      <c r="J20" s="12"/>
      <c r="K20" s="12"/>
      <c r="L20" s="12"/>
    </row>
    <row r="21" spans="9:12">
      <c r="I21" s="12"/>
      <c r="J21" s="12"/>
      <c r="K21" s="12"/>
      <c r="L21" s="12"/>
    </row>
    <row r="22" spans="9:12">
      <c r="I22" s="12"/>
      <c r="J22" s="12"/>
      <c r="K22" s="12"/>
      <c r="L22" s="12"/>
    </row>
    <row r="23" spans="9:12">
      <c r="I23" s="12"/>
      <c r="J23" s="12"/>
      <c r="K23" s="12"/>
      <c r="L23" s="12"/>
    </row>
    <row r="24" spans="9:12">
      <c r="I24" s="13"/>
      <c r="J24" s="12"/>
      <c r="K24" s="12"/>
      <c r="L24" s="12"/>
    </row>
    <row r="27" spans="15:16">
      <c r="O27" s="14"/>
      <c r="P27" s="14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  <row r="36" spans="15:16">
      <c r="O36" s="15"/>
      <c r="P36" s="15"/>
    </row>
  </sheetData>
  <mergeCells count="6">
    <mergeCell ref="A1:C1"/>
    <mergeCell ref="D1:F1"/>
    <mergeCell ref="A2:C2"/>
    <mergeCell ref="D2:F2"/>
    <mergeCell ref="A3:F3"/>
    <mergeCell ref="C20:D20"/>
  </mergeCells>
  <pageMargins left="0.7" right="0.7" top="0.75" bottom="0.75" header="0.3" footer="0.3"/>
  <pageSetup paperSize="9" orientation="portrait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H20" sqref="H20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928</v>
      </c>
      <c r="B1" s="1"/>
      <c r="C1" s="1"/>
      <c r="D1" s="1" t="s">
        <v>925</v>
      </c>
      <c r="E1" s="1"/>
      <c r="F1" s="1"/>
    </row>
    <row r="2" spans="1:16">
      <c r="A2" s="2" t="s">
        <v>781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6795</v>
      </c>
      <c r="B5" s="7" t="s">
        <v>243</v>
      </c>
      <c r="C5" s="7">
        <v>460</v>
      </c>
      <c r="D5" s="7">
        <v>1.2</v>
      </c>
      <c r="E5" s="7">
        <f>C5*D5</f>
        <v>552</v>
      </c>
      <c r="F5" s="7" t="s">
        <v>212</v>
      </c>
      <c r="O5" s="15"/>
      <c r="P5" s="15"/>
    </row>
    <row r="6" spans="1:16">
      <c r="A6" s="7">
        <v>6798</v>
      </c>
      <c r="B6" s="7" t="s">
        <v>295</v>
      </c>
      <c r="C6" s="7">
        <v>460</v>
      </c>
      <c r="D6" s="7">
        <v>1.2</v>
      </c>
      <c r="E6" s="7">
        <f>C6*D6</f>
        <v>552</v>
      </c>
      <c r="F6" s="7" t="s">
        <v>212</v>
      </c>
      <c r="O6" s="15"/>
      <c r="P6" s="15"/>
    </row>
    <row r="7" spans="1:16">
      <c r="A7" s="7">
        <v>6490</v>
      </c>
      <c r="B7" s="7" t="s">
        <v>242</v>
      </c>
      <c r="C7" s="7">
        <v>600</v>
      </c>
      <c r="D7" s="7">
        <v>1.2</v>
      </c>
      <c r="E7" s="7">
        <f>C7*D7</f>
        <v>720</v>
      </c>
      <c r="F7" s="7" t="s">
        <v>655</v>
      </c>
      <c r="O7" s="15"/>
      <c r="P7" s="15"/>
    </row>
    <row r="8" spans="3:12">
      <c r="C8" s="8" t="s">
        <v>18</v>
      </c>
      <c r="D8" s="9"/>
      <c r="E8" s="8">
        <f>SUM(E5:E7)</f>
        <v>1824</v>
      </c>
      <c r="F8" s="12"/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3"/>
      <c r="J12" s="12"/>
      <c r="K12" s="12"/>
      <c r="L12" s="12"/>
    </row>
    <row r="15" spans="15:16">
      <c r="O15" s="14"/>
      <c r="P15" s="14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J14" sqref="J1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929</v>
      </c>
      <c r="B1" s="1"/>
      <c r="C1" s="1"/>
      <c r="D1" s="1" t="s">
        <v>925</v>
      </c>
      <c r="E1" s="1"/>
      <c r="F1" s="1"/>
    </row>
    <row r="2" spans="1:16">
      <c r="A2" s="2" t="s">
        <v>793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16">
        <v>6750</v>
      </c>
      <c r="B5" s="7" t="s">
        <v>930</v>
      </c>
      <c r="C5" s="7">
        <v>50</v>
      </c>
      <c r="D5" s="7">
        <v>1.2</v>
      </c>
      <c r="E5" s="7">
        <f>C5*D5</f>
        <v>60</v>
      </c>
      <c r="F5" s="7" t="s">
        <v>611</v>
      </c>
      <c r="O5" s="15"/>
      <c r="P5" s="15"/>
    </row>
    <row r="6" spans="1:16">
      <c r="A6" s="18">
        <v>6843</v>
      </c>
      <c r="B6" s="7" t="s">
        <v>341</v>
      </c>
      <c r="C6" s="7">
        <v>50</v>
      </c>
      <c r="D6" s="7">
        <v>1.2</v>
      </c>
      <c r="E6" s="7">
        <f>C6*D6</f>
        <v>60</v>
      </c>
      <c r="F6" s="7" t="s">
        <v>570</v>
      </c>
      <c r="O6" s="15"/>
      <c r="P6" s="15"/>
    </row>
    <row r="7" spans="1:16">
      <c r="A7" s="19">
        <v>6825</v>
      </c>
      <c r="B7" s="7" t="s">
        <v>214</v>
      </c>
      <c r="C7" s="7">
        <v>50</v>
      </c>
      <c r="D7" s="7">
        <v>1.2</v>
      </c>
      <c r="E7" s="7">
        <f>C7*D7</f>
        <v>60</v>
      </c>
      <c r="F7" s="7" t="s">
        <v>570</v>
      </c>
      <c r="O7" s="15"/>
      <c r="P7" s="15"/>
    </row>
    <row r="8" spans="3:12">
      <c r="C8" s="8" t="s">
        <v>18</v>
      </c>
      <c r="D8" s="9"/>
      <c r="E8" s="8">
        <f>SUM(E5:E7)</f>
        <v>180</v>
      </c>
      <c r="F8" s="12"/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3"/>
      <c r="J12" s="12"/>
      <c r="K12" s="12"/>
      <c r="L12" s="12"/>
    </row>
    <row r="15" spans="15:16">
      <c r="O15" s="14"/>
      <c r="P15" s="14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G22" sqref="G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931</v>
      </c>
      <c r="B1" s="1"/>
      <c r="C1" s="1"/>
      <c r="D1" s="1" t="s">
        <v>925</v>
      </c>
      <c r="E1" s="1"/>
      <c r="F1" s="1"/>
    </row>
    <row r="2" spans="1:16">
      <c r="A2" s="2" t="s">
        <v>781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16">
        <v>6750</v>
      </c>
      <c r="B5" s="7" t="s">
        <v>930</v>
      </c>
      <c r="C5" s="7">
        <v>350</v>
      </c>
      <c r="D5" s="7">
        <v>1.2</v>
      </c>
      <c r="E5" s="7">
        <f t="shared" ref="E5:E7" si="0">C5*D5</f>
        <v>420</v>
      </c>
      <c r="F5" s="7" t="s">
        <v>611</v>
      </c>
      <c r="O5" s="15"/>
      <c r="P5" s="15"/>
    </row>
    <row r="6" spans="1:16">
      <c r="A6" s="18">
        <v>6843</v>
      </c>
      <c r="B6" s="7" t="s">
        <v>341</v>
      </c>
      <c r="C6" s="7">
        <v>350</v>
      </c>
      <c r="D6" s="7">
        <v>1.2</v>
      </c>
      <c r="E6" s="7">
        <f t="shared" si="0"/>
        <v>420</v>
      </c>
      <c r="F6" s="7" t="s">
        <v>570</v>
      </c>
      <c r="O6" s="15"/>
      <c r="P6" s="15"/>
    </row>
    <row r="7" spans="1:16">
      <c r="A7" s="19">
        <v>6825</v>
      </c>
      <c r="B7" s="7" t="s">
        <v>214</v>
      </c>
      <c r="C7" s="7">
        <v>350</v>
      </c>
      <c r="D7" s="7">
        <v>1.2</v>
      </c>
      <c r="E7" s="7">
        <f t="shared" si="0"/>
        <v>420</v>
      </c>
      <c r="F7" s="7" t="s">
        <v>570</v>
      </c>
      <c r="O7" s="15"/>
      <c r="P7" s="15"/>
    </row>
    <row r="8" spans="3:12">
      <c r="C8" s="8" t="s">
        <v>18</v>
      </c>
      <c r="D8" s="9"/>
      <c r="E8" s="8">
        <f>SUM(E5:E7)</f>
        <v>1260</v>
      </c>
      <c r="F8" s="12"/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3"/>
      <c r="J12" s="12"/>
      <c r="K12" s="12"/>
      <c r="L12" s="12"/>
    </row>
    <row r="15" spans="15:16">
      <c r="O15" s="14"/>
      <c r="P15" s="14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22" sqref="H2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932</v>
      </c>
      <c r="B1" s="1"/>
      <c r="C1" s="1"/>
      <c r="D1" s="1" t="s">
        <v>933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6911</v>
      </c>
      <c r="B5" s="7" t="s">
        <v>465</v>
      </c>
      <c r="C5" s="7">
        <v>450</v>
      </c>
      <c r="D5" s="7">
        <v>2757</v>
      </c>
      <c r="E5" s="7">
        <f>C5*D5</f>
        <v>1240650</v>
      </c>
      <c r="F5" s="7" t="s">
        <v>655</v>
      </c>
      <c r="O5" s="15"/>
      <c r="P5" s="15"/>
    </row>
    <row r="6" spans="3:12">
      <c r="C6" s="8" t="s">
        <v>18</v>
      </c>
      <c r="D6" s="9"/>
      <c r="E6" s="8">
        <f>SUM(E5:E5)</f>
        <v>1240650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H23" sqref="H2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934</v>
      </c>
      <c r="B1" s="1"/>
      <c r="C1" s="1"/>
      <c r="D1" s="1" t="s">
        <v>933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6786</v>
      </c>
      <c r="B5" s="7" t="s">
        <v>287</v>
      </c>
      <c r="C5" s="7">
        <v>40</v>
      </c>
      <c r="D5" s="7">
        <v>2757</v>
      </c>
      <c r="E5" s="22">
        <f>C5*D5</f>
        <v>110280</v>
      </c>
      <c r="F5" s="7" t="s">
        <v>655</v>
      </c>
      <c r="O5" s="15"/>
      <c r="P5" s="15"/>
    </row>
    <row r="6" spans="1:16">
      <c r="A6" s="7">
        <v>6788</v>
      </c>
      <c r="B6" s="7" t="s">
        <v>289</v>
      </c>
      <c r="C6" s="7">
        <v>24</v>
      </c>
      <c r="D6" s="7">
        <v>2757</v>
      </c>
      <c r="E6" s="22">
        <f>C6*D6</f>
        <v>66168</v>
      </c>
      <c r="F6" s="7" t="s">
        <v>655</v>
      </c>
      <c r="O6" s="15"/>
      <c r="P6" s="15"/>
    </row>
    <row r="7" spans="1:16">
      <c r="A7" s="19">
        <v>6819</v>
      </c>
      <c r="B7" s="7" t="s">
        <v>16</v>
      </c>
      <c r="C7" s="7">
        <v>400</v>
      </c>
      <c r="D7" s="7">
        <v>2757</v>
      </c>
      <c r="E7" s="22">
        <f>C7*D7</f>
        <v>1102800</v>
      </c>
      <c r="F7" s="7" t="s">
        <v>570</v>
      </c>
      <c r="O7" s="15"/>
      <c r="P7" s="15"/>
    </row>
    <row r="8" spans="3:12">
      <c r="C8" s="8" t="s">
        <v>18</v>
      </c>
      <c r="D8" s="9"/>
      <c r="E8" s="8">
        <f>SUM(E5:E7)</f>
        <v>1279248</v>
      </c>
      <c r="F8" s="12"/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3"/>
      <c r="J12" s="12"/>
      <c r="K12" s="12"/>
      <c r="L12" s="12"/>
    </row>
    <row r="15" spans="15:16">
      <c r="O15" s="14"/>
      <c r="P15" s="14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L34" sqref="L3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935</v>
      </c>
      <c r="B1" s="1"/>
      <c r="C1" s="1"/>
      <c r="D1" s="1" t="s">
        <v>933</v>
      </c>
      <c r="E1" s="1"/>
      <c r="F1" s="1"/>
    </row>
    <row r="2" spans="1:16">
      <c r="A2" s="2" t="s">
        <v>773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19">
        <v>6819</v>
      </c>
      <c r="B5" s="7" t="s">
        <v>16</v>
      </c>
      <c r="C5" s="7">
        <v>100</v>
      </c>
      <c r="D5" s="7">
        <v>2875</v>
      </c>
      <c r="E5" s="7">
        <f>C5*D5</f>
        <v>287500</v>
      </c>
      <c r="F5" s="7" t="s">
        <v>570</v>
      </c>
      <c r="O5" s="15"/>
      <c r="P5" s="15"/>
    </row>
    <row r="6" spans="3:12">
      <c r="C6" s="8" t="s">
        <v>18</v>
      </c>
      <c r="D6" s="9"/>
      <c r="E6" s="8">
        <f>SUM(E5:E5)</f>
        <v>287500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G7" sqref="G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936</v>
      </c>
      <c r="B1" s="1"/>
      <c r="C1" s="1"/>
      <c r="D1" s="1" t="s">
        <v>933</v>
      </c>
      <c r="E1" s="1"/>
      <c r="F1" s="1"/>
    </row>
    <row r="2" spans="1:16">
      <c r="A2" s="2" t="s">
        <v>778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16">
        <v>6739</v>
      </c>
      <c r="B5" s="7" t="s">
        <v>378</v>
      </c>
      <c r="C5" s="7">
        <v>50</v>
      </c>
      <c r="D5" s="7">
        <v>1.2</v>
      </c>
      <c r="E5" s="7">
        <f>C5*D5</f>
        <v>60</v>
      </c>
      <c r="F5" s="7" t="s">
        <v>570</v>
      </c>
      <c r="O5" s="15"/>
      <c r="P5" s="15"/>
    </row>
    <row r="6" spans="1:16">
      <c r="A6" s="16">
        <v>6738</v>
      </c>
      <c r="B6" s="7" t="s">
        <v>323</v>
      </c>
      <c r="C6" s="7">
        <v>50</v>
      </c>
      <c r="D6" s="7">
        <v>1.2</v>
      </c>
      <c r="E6" s="7">
        <f>C6*D6</f>
        <v>60</v>
      </c>
      <c r="F6" s="7" t="s">
        <v>570</v>
      </c>
      <c r="O6" s="15"/>
      <c r="P6" s="15"/>
    </row>
    <row r="7" spans="3:12">
      <c r="C7" s="8" t="s">
        <v>18</v>
      </c>
      <c r="D7" s="9"/>
      <c r="E7" s="8">
        <f>SUM(E5:E6)</f>
        <v>120</v>
      </c>
      <c r="F7" s="12"/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3"/>
      <c r="J11" s="12"/>
      <c r="K11" s="12"/>
      <c r="L11" s="12"/>
    </row>
    <row r="14" spans="15:16">
      <c r="O14" s="14"/>
      <c r="P14" s="14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</sheetData>
  <mergeCells count="6">
    <mergeCell ref="A1:C1"/>
    <mergeCell ref="D1:F1"/>
    <mergeCell ref="A2:C2"/>
    <mergeCell ref="D2:F2"/>
    <mergeCell ref="A3:F3"/>
    <mergeCell ref="C7:D7"/>
  </mergeCells>
  <pageMargins left="0.7" right="0.7" top="0.75" bottom="0.75" header="0.3" footer="0.3"/>
  <pageSetup paperSize="9" orientation="portrait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F11" sqref="F1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937</v>
      </c>
      <c r="B1" s="1"/>
      <c r="C1" s="1"/>
      <c r="D1" s="1" t="s">
        <v>938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6475</v>
      </c>
      <c r="B5" s="7" t="s">
        <v>939</v>
      </c>
      <c r="C5" s="21">
        <v>450</v>
      </c>
      <c r="D5" s="7">
        <v>2757</v>
      </c>
      <c r="E5" s="7">
        <f>C5*D5</f>
        <v>1240650</v>
      </c>
      <c r="F5" s="7" t="s">
        <v>763</v>
      </c>
      <c r="O5" s="15"/>
      <c r="P5" s="15"/>
    </row>
    <row r="6" spans="1:16">
      <c r="A6" s="7">
        <v>6463</v>
      </c>
      <c r="B6" s="7" t="s">
        <v>58</v>
      </c>
      <c r="C6" s="7">
        <v>450</v>
      </c>
      <c r="D6" s="7">
        <v>2757</v>
      </c>
      <c r="E6" s="7">
        <f>C6*D6</f>
        <v>1240650</v>
      </c>
      <c r="F6" s="7" t="s">
        <v>763</v>
      </c>
      <c r="O6" s="15"/>
      <c r="P6" s="15"/>
    </row>
    <row r="7" spans="1:16">
      <c r="A7" s="7">
        <v>6694</v>
      </c>
      <c r="B7" s="7" t="s">
        <v>143</v>
      </c>
      <c r="C7" s="7">
        <v>450</v>
      </c>
      <c r="D7" s="7">
        <v>2757</v>
      </c>
      <c r="E7" s="7">
        <f>C7*D7</f>
        <v>1240650</v>
      </c>
      <c r="F7" s="7" t="s">
        <v>212</v>
      </c>
      <c r="O7" s="15"/>
      <c r="P7" s="15"/>
    </row>
    <row r="8" spans="3:12">
      <c r="C8" s="8" t="s">
        <v>18</v>
      </c>
      <c r="D8" s="9"/>
      <c r="E8" s="8">
        <f>SUM(E5:E7)</f>
        <v>3721950</v>
      </c>
      <c r="F8" s="12"/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3"/>
      <c r="J12" s="12"/>
      <c r="K12" s="12"/>
      <c r="L12" s="12"/>
    </row>
    <row r="15" spans="15:16">
      <c r="O15" s="14"/>
      <c r="P15" s="14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G9" sqref="G9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940</v>
      </c>
      <c r="B1" s="1"/>
      <c r="C1" s="1"/>
      <c r="D1" s="1" t="s">
        <v>938</v>
      </c>
      <c r="E1" s="1"/>
      <c r="F1" s="1"/>
    </row>
    <row r="2" spans="1:16">
      <c r="A2" s="2" t="s">
        <v>841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6708</v>
      </c>
      <c r="B5" s="7" t="s">
        <v>157</v>
      </c>
      <c r="C5" s="7">
        <v>20</v>
      </c>
      <c r="D5" s="7">
        <v>2710</v>
      </c>
      <c r="E5" s="7">
        <f>C5*D5</f>
        <v>54200</v>
      </c>
      <c r="F5" s="7" t="s">
        <v>667</v>
      </c>
      <c r="O5" s="15"/>
      <c r="P5" s="15"/>
    </row>
    <row r="6" spans="3:12">
      <c r="C6" s="8" t="s">
        <v>18</v>
      </c>
      <c r="D6" s="9"/>
      <c r="E6" s="8">
        <f>SUM(E5:E5)</f>
        <v>54200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H8" sqref="H8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941</v>
      </c>
      <c r="B1" s="1"/>
      <c r="C1" s="1"/>
      <c r="D1" s="1" t="s">
        <v>938</v>
      </c>
      <c r="E1" s="1"/>
      <c r="F1" s="1"/>
    </row>
    <row r="2" spans="1:16">
      <c r="A2" s="2" t="s">
        <v>773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6648</v>
      </c>
      <c r="B5" s="7" t="s">
        <v>12</v>
      </c>
      <c r="C5" s="7">
        <v>100</v>
      </c>
      <c r="D5" s="7">
        <v>2875</v>
      </c>
      <c r="E5" s="7">
        <f>C5*D5</f>
        <v>287500</v>
      </c>
      <c r="F5" s="7" t="s">
        <v>570</v>
      </c>
      <c r="O5" s="15"/>
      <c r="P5" s="15"/>
    </row>
    <row r="6" spans="1:16">
      <c r="A6" s="7">
        <v>6647</v>
      </c>
      <c r="B6" s="7" t="s">
        <v>190</v>
      </c>
      <c r="C6" s="7">
        <v>100</v>
      </c>
      <c r="D6" s="7">
        <v>2875</v>
      </c>
      <c r="E6" s="7">
        <f t="shared" ref="E6:E13" si="0">C6*D6</f>
        <v>287500</v>
      </c>
      <c r="F6" s="7" t="s">
        <v>570</v>
      </c>
      <c r="O6" s="15"/>
      <c r="P6" s="15"/>
    </row>
    <row r="7" spans="1:16">
      <c r="A7" s="7">
        <v>6652</v>
      </c>
      <c r="B7" s="7" t="s">
        <v>198</v>
      </c>
      <c r="C7" s="20">
        <v>87.59</v>
      </c>
      <c r="D7" s="7">
        <v>2875</v>
      </c>
      <c r="E7" s="7">
        <f t="shared" si="0"/>
        <v>251821.25</v>
      </c>
      <c r="F7" s="7" t="s">
        <v>570</v>
      </c>
      <c r="O7" s="15"/>
      <c r="P7" s="15"/>
    </row>
    <row r="8" spans="1:16">
      <c r="A8" s="7">
        <v>6661</v>
      </c>
      <c r="B8" s="7" t="s">
        <v>170</v>
      </c>
      <c r="C8" s="7">
        <v>100</v>
      </c>
      <c r="D8" s="7">
        <v>2875</v>
      </c>
      <c r="E8" s="7">
        <f t="shared" si="0"/>
        <v>287500</v>
      </c>
      <c r="F8" s="7" t="s">
        <v>570</v>
      </c>
      <c r="O8" s="15"/>
      <c r="P8" s="15"/>
    </row>
    <row r="9" spans="1:16">
      <c r="A9" s="18">
        <v>6836</v>
      </c>
      <c r="B9" s="7" t="s">
        <v>315</v>
      </c>
      <c r="C9" s="7">
        <v>100</v>
      </c>
      <c r="D9" s="7">
        <v>2875</v>
      </c>
      <c r="E9" s="7">
        <f t="shared" si="0"/>
        <v>287500</v>
      </c>
      <c r="F9" s="7" t="s">
        <v>570</v>
      </c>
      <c r="O9" s="15"/>
      <c r="P9" s="15"/>
    </row>
    <row r="10" spans="1:16">
      <c r="A10" s="18">
        <v>6837</v>
      </c>
      <c r="B10" s="7" t="s">
        <v>322</v>
      </c>
      <c r="C10" s="7">
        <v>100</v>
      </c>
      <c r="D10" s="7">
        <v>2875</v>
      </c>
      <c r="E10" s="7">
        <f t="shared" si="0"/>
        <v>287500</v>
      </c>
      <c r="F10" s="7" t="s">
        <v>570</v>
      </c>
      <c r="O10" s="15"/>
      <c r="P10" s="15"/>
    </row>
    <row r="11" spans="1:16">
      <c r="A11" s="19">
        <v>6818</v>
      </c>
      <c r="B11" s="7" t="s">
        <v>187</v>
      </c>
      <c r="C11" s="7">
        <v>100</v>
      </c>
      <c r="D11" s="7">
        <v>2875</v>
      </c>
      <c r="E11" s="7">
        <f t="shared" si="0"/>
        <v>287500</v>
      </c>
      <c r="F11" s="7" t="s">
        <v>570</v>
      </c>
      <c r="O11" s="15"/>
      <c r="P11" s="15"/>
    </row>
    <row r="12" spans="1:16">
      <c r="A12" s="18">
        <v>6838</v>
      </c>
      <c r="B12" s="7" t="s">
        <v>324</v>
      </c>
      <c r="C12" s="7">
        <v>100</v>
      </c>
      <c r="D12" s="7">
        <v>2875</v>
      </c>
      <c r="E12" s="7">
        <f t="shared" si="0"/>
        <v>287500</v>
      </c>
      <c r="F12" s="7" t="s">
        <v>570</v>
      </c>
      <c r="O12" s="15"/>
      <c r="P12" s="15"/>
    </row>
    <row r="13" spans="1:16">
      <c r="A13" s="7">
        <v>6649</v>
      </c>
      <c r="B13" s="7" t="s">
        <v>205</v>
      </c>
      <c r="C13" s="7">
        <v>100</v>
      </c>
      <c r="D13" s="7">
        <v>2875</v>
      </c>
      <c r="E13" s="7">
        <f t="shared" si="0"/>
        <v>287500</v>
      </c>
      <c r="F13" s="7" t="s">
        <v>570</v>
      </c>
      <c r="O13" s="15"/>
      <c r="P13" s="15"/>
    </row>
    <row r="14" spans="3:12">
      <c r="C14" s="8" t="s">
        <v>18</v>
      </c>
      <c r="D14" s="9"/>
      <c r="E14" s="8">
        <f>SUM(E5:E13)</f>
        <v>2551821.25</v>
      </c>
      <c r="F14" s="12"/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2"/>
    </row>
    <row r="18" spans="9:12">
      <c r="I18" s="13"/>
      <c r="J18" s="12"/>
      <c r="K18" s="12"/>
      <c r="L18" s="12"/>
    </row>
    <row r="21" spans="15:16">
      <c r="O21" s="14"/>
      <c r="P21" s="14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pageSetup paperSize="9" orientation="portrait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H21" sqref="H21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942</v>
      </c>
      <c r="B1" s="1"/>
      <c r="C1" s="1"/>
      <c r="D1" s="1" t="s">
        <v>938</v>
      </c>
      <c r="E1" s="1"/>
      <c r="F1" s="1"/>
    </row>
    <row r="2" spans="1:16">
      <c r="A2" s="2" t="s">
        <v>771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6648</v>
      </c>
      <c r="B5" s="7" t="s">
        <v>12</v>
      </c>
      <c r="C5" s="7">
        <v>400</v>
      </c>
      <c r="D5" s="7">
        <v>2875</v>
      </c>
      <c r="E5" s="7">
        <f t="shared" ref="E5:E13" si="0">C5*D5</f>
        <v>1150000</v>
      </c>
      <c r="F5" s="7" t="s">
        <v>570</v>
      </c>
      <c r="O5" s="15"/>
      <c r="P5" s="15"/>
    </row>
    <row r="6" spans="1:16">
      <c r="A6" s="7">
        <v>6647</v>
      </c>
      <c r="B6" s="7" t="s">
        <v>190</v>
      </c>
      <c r="C6" s="7">
        <v>400</v>
      </c>
      <c r="D6" s="7">
        <v>2875</v>
      </c>
      <c r="E6" s="7">
        <f t="shared" si="0"/>
        <v>1150000</v>
      </c>
      <c r="F6" s="7" t="s">
        <v>570</v>
      </c>
      <c r="O6" s="15"/>
      <c r="P6" s="15"/>
    </row>
    <row r="7" spans="1:16">
      <c r="A7" s="7">
        <v>6652</v>
      </c>
      <c r="B7" s="7" t="s">
        <v>198</v>
      </c>
      <c r="C7" s="17">
        <v>400</v>
      </c>
      <c r="D7" s="7">
        <v>2875</v>
      </c>
      <c r="E7" s="7">
        <f t="shared" si="0"/>
        <v>1150000</v>
      </c>
      <c r="F7" s="7" t="s">
        <v>570</v>
      </c>
      <c r="O7" s="15"/>
      <c r="P7" s="15"/>
    </row>
    <row r="8" spans="1:16">
      <c r="A8" s="7">
        <v>6661</v>
      </c>
      <c r="B8" s="7" t="s">
        <v>170</v>
      </c>
      <c r="C8" s="7">
        <v>400</v>
      </c>
      <c r="D8" s="7">
        <v>2875</v>
      </c>
      <c r="E8" s="7">
        <f t="shared" si="0"/>
        <v>1150000</v>
      </c>
      <c r="F8" s="7" t="s">
        <v>570</v>
      </c>
      <c r="O8" s="15"/>
      <c r="P8" s="15"/>
    </row>
    <row r="9" spans="1:16">
      <c r="A9" s="18">
        <v>6836</v>
      </c>
      <c r="B9" s="7" t="s">
        <v>315</v>
      </c>
      <c r="C9" s="7">
        <v>400</v>
      </c>
      <c r="D9" s="7">
        <v>2875</v>
      </c>
      <c r="E9" s="7">
        <f t="shared" si="0"/>
        <v>1150000</v>
      </c>
      <c r="F9" s="7" t="s">
        <v>570</v>
      </c>
      <c r="O9" s="15"/>
      <c r="P9" s="15"/>
    </row>
    <row r="10" spans="1:16">
      <c r="A10" s="18">
        <v>6837</v>
      </c>
      <c r="B10" s="7" t="s">
        <v>322</v>
      </c>
      <c r="C10" s="7">
        <v>400</v>
      </c>
      <c r="D10" s="7">
        <v>2875</v>
      </c>
      <c r="E10" s="7">
        <f t="shared" si="0"/>
        <v>1150000</v>
      </c>
      <c r="F10" s="7" t="s">
        <v>570</v>
      </c>
      <c r="O10" s="15"/>
      <c r="P10" s="15"/>
    </row>
    <row r="11" spans="1:16">
      <c r="A11" s="19">
        <v>6818</v>
      </c>
      <c r="B11" s="7" t="s">
        <v>187</v>
      </c>
      <c r="C11" s="7">
        <v>400</v>
      </c>
      <c r="D11" s="7">
        <v>2875</v>
      </c>
      <c r="E11" s="7">
        <f t="shared" si="0"/>
        <v>1150000</v>
      </c>
      <c r="F11" s="7" t="s">
        <v>570</v>
      </c>
      <c r="O11" s="15"/>
      <c r="P11" s="15"/>
    </row>
    <row r="12" spans="1:16">
      <c r="A12" s="18">
        <v>6838</v>
      </c>
      <c r="B12" s="7" t="s">
        <v>324</v>
      </c>
      <c r="C12" s="7">
        <v>400</v>
      </c>
      <c r="D12" s="7">
        <v>2875</v>
      </c>
      <c r="E12" s="7">
        <f t="shared" si="0"/>
        <v>1150000</v>
      </c>
      <c r="F12" s="7" t="s">
        <v>570</v>
      </c>
      <c r="O12" s="15"/>
      <c r="P12" s="15"/>
    </row>
    <row r="13" spans="1:16">
      <c r="A13" s="7">
        <v>6649</v>
      </c>
      <c r="B13" s="7" t="s">
        <v>205</v>
      </c>
      <c r="C13" s="7">
        <v>400</v>
      </c>
      <c r="D13" s="7">
        <v>2875</v>
      </c>
      <c r="E13" s="7">
        <f t="shared" si="0"/>
        <v>1150000</v>
      </c>
      <c r="F13" s="7" t="s">
        <v>570</v>
      </c>
      <c r="O13" s="15"/>
      <c r="P13" s="15"/>
    </row>
    <row r="14" spans="3:12">
      <c r="C14" s="8" t="s">
        <v>18</v>
      </c>
      <c r="D14" s="9"/>
      <c r="E14" s="8">
        <f>SUM(E5:E13)</f>
        <v>10350000</v>
      </c>
      <c r="F14" s="12"/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2"/>
    </row>
    <row r="18" spans="9:12">
      <c r="I18" s="13"/>
      <c r="J18" s="12"/>
      <c r="K18" s="12"/>
      <c r="L18" s="12"/>
    </row>
    <row r="21" spans="15:16">
      <c r="O21" s="14"/>
      <c r="P21" s="14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</sheetData>
  <mergeCells count="6">
    <mergeCell ref="A1:C1"/>
    <mergeCell ref="D1:F1"/>
    <mergeCell ref="A2:C2"/>
    <mergeCell ref="D2:F2"/>
    <mergeCell ref="A3:F3"/>
    <mergeCell ref="C14:D14"/>
  </mergeCells>
  <pageMargins left="0.7" right="0.7" top="0.75" bottom="0.75" header="0.3" footer="0.3"/>
  <pageSetup paperSize="9" orientation="portrait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workbookViewId="0">
      <selection activeCell="H12" sqref="H1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943</v>
      </c>
      <c r="B1" s="1"/>
      <c r="C1" s="1"/>
      <c r="D1" s="1" t="s">
        <v>938</v>
      </c>
      <c r="E1" s="1"/>
      <c r="F1" s="1"/>
    </row>
    <row r="2" spans="1:16">
      <c r="A2" s="2" t="s">
        <v>781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6573</v>
      </c>
      <c r="B5" s="7" t="s">
        <v>240</v>
      </c>
      <c r="C5" s="7">
        <v>560</v>
      </c>
      <c r="D5" s="7">
        <v>1.2</v>
      </c>
      <c r="E5" s="7">
        <f>C5*D5</f>
        <v>672</v>
      </c>
      <c r="F5" s="7" t="s">
        <v>655</v>
      </c>
      <c r="O5" s="15"/>
      <c r="P5" s="15"/>
    </row>
    <row r="6" spans="1:16">
      <c r="A6" s="7">
        <v>6806</v>
      </c>
      <c r="B6" s="7" t="s">
        <v>350</v>
      </c>
      <c r="C6" s="17">
        <v>460</v>
      </c>
      <c r="D6" s="7">
        <v>1.2</v>
      </c>
      <c r="E6" s="7">
        <f t="shared" ref="E6:E19" si="0">C6*D6</f>
        <v>552</v>
      </c>
      <c r="F6" s="7" t="s">
        <v>212</v>
      </c>
      <c r="O6" s="15"/>
      <c r="P6" s="15"/>
    </row>
    <row r="7" spans="1:16">
      <c r="A7" s="7">
        <v>6550</v>
      </c>
      <c r="B7" s="7" t="s">
        <v>221</v>
      </c>
      <c r="C7" s="7">
        <v>600</v>
      </c>
      <c r="D7" s="7">
        <v>1.2</v>
      </c>
      <c r="E7" s="7">
        <f t="shared" si="0"/>
        <v>720</v>
      </c>
      <c r="F7" s="7" t="s">
        <v>655</v>
      </c>
      <c r="O7" s="15"/>
      <c r="P7" s="15"/>
    </row>
    <row r="8" spans="1:16">
      <c r="A8" s="7">
        <v>6784</v>
      </c>
      <c r="B8" s="7" t="s">
        <v>285</v>
      </c>
      <c r="C8" s="7">
        <v>600</v>
      </c>
      <c r="D8" s="7">
        <v>1.2</v>
      </c>
      <c r="E8" s="7">
        <f t="shared" si="0"/>
        <v>720</v>
      </c>
      <c r="F8" s="7" t="s">
        <v>655</v>
      </c>
      <c r="O8" s="15"/>
      <c r="P8" s="15"/>
    </row>
    <row r="9" spans="1:16">
      <c r="A9" s="7">
        <v>6786</v>
      </c>
      <c r="B9" s="7" t="s">
        <v>287</v>
      </c>
      <c r="C9" s="7">
        <v>560</v>
      </c>
      <c r="D9" s="7">
        <v>1.2</v>
      </c>
      <c r="E9" s="7">
        <f t="shared" si="0"/>
        <v>672</v>
      </c>
      <c r="F9" s="7" t="s">
        <v>655</v>
      </c>
      <c r="O9" s="15"/>
      <c r="P9" s="15"/>
    </row>
    <row r="10" spans="1:16">
      <c r="A10" s="7">
        <v>6787</v>
      </c>
      <c r="B10" s="7" t="s">
        <v>288</v>
      </c>
      <c r="C10" s="7">
        <v>600</v>
      </c>
      <c r="D10" s="7">
        <v>1.2</v>
      </c>
      <c r="E10" s="7">
        <f t="shared" si="0"/>
        <v>720</v>
      </c>
      <c r="F10" s="7" t="s">
        <v>655</v>
      </c>
      <c r="O10" s="15"/>
      <c r="P10" s="15"/>
    </row>
    <row r="11" spans="1:16">
      <c r="A11" s="7">
        <v>6783</v>
      </c>
      <c r="B11" s="7" t="s">
        <v>284</v>
      </c>
      <c r="C11" s="7">
        <v>560</v>
      </c>
      <c r="D11" s="7">
        <v>1.2</v>
      </c>
      <c r="E11" s="7">
        <f t="shared" si="0"/>
        <v>672</v>
      </c>
      <c r="F11" s="7" t="s">
        <v>655</v>
      </c>
      <c r="O11" s="15"/>
      <c r="P11" s="15"/>
    </row>
    <row r="12" spans="1:16">
      <c r="A12" s="7">
        <v>6875</v>
      </c>
      <c r="B12" s="7" t="s">
        <v>356</v>
      </c>
      <c r="C12" s="7">
        <v>560</v>
      </c>
      <c r="D12" s="7">
        <v>1.2</v>
      </c>
      <c r="E12" s="7">
        <f t="shared" si="0"/>
        <v>672</v>
      </c>
      <c r="F12" s="7" t="s">
        <v>655</v>
      </c>
      <c r="O12" s="15"/>
      <c r="P12" s="15"/>
    </row>
    <row r="13" spans="1:16">
      <c r="A13" s="7">
        <v>6873</v>
      </c>
      <c r="B13" s="7" t="s">
        <v>245</v>
      </c>
      <c r="C13" s="7">
        <v>560</v>
      </c>
      <c r="D13" s="7">
        <v>1.2</v>
      </c>
      <c r="E13" s="7">
        <f t="shared" si="0"/>
        <v>672</v>
      </c>
      <c r="F13" s="7" t="s">
        <v>655</v>
      </c>
      <c r="O13" s="15"/>
      <c r="P13" s="15"/>
    </row>
    <row r="14" spans="1:16">
      <c r="A14" s="7">
        <v>6791</v>
      </c>
      <c r="B14" s="7" t="s">
        <v>292</v>
      </c>
      <c r="C14" s="7">
        <v>560</v>
      </c>
      <c r="D14" s="7">
        <v>1.2</v>
      </c>
      <c r="E14" s="7">
        <f t="shared" si="0"/>
        <v>672</v>
      </c>
      <c r="F14" s="7" t="s">
        <v>655</v>
      </c>
      <c r="O14" s="15"/>
      <c r="P14" s="15"/>
    </row>
    <row r="15" spans="1:16">
      <c r="A15" s="7">
        <v>6874</v>
      </c>
      <c r="B15" s="7" t="s">
        <v>355</v>
      </c>
      <c r="C15" s="7">
        <v>600</v>
      </c>
      <c r="D15" s="7">
        <v>1.2</v>
      </c>
      <c r="E15" s="7">
        <f t="shared" si="0"/>
        <v>720</v>
      </c>
      <c r="F15" s="7" t="s">
        <v>655</v>
      </c>
      <c r="O15" s="15"/>
      <c r="P15" s="15"/>
    </row>
    <row r="16" spans="1:16">
      <c r="A16" s="7">
        <v>6564</v>
      </c>
      <c r="B16" s="7" t="s">
        <v>346</v>
      </c>
      <c r="C16" s="7">
        <v>560</v>
      </c>
      <c r="D16" s="7">
        <v>1.2</v>
      </c>
      <c r="E16" s="7">
        <f t="shared" si="0"/>
        <v>672</v>
      </c>
      <c r="F16" s="7" t="s">
        <v>655</v>
      </c>
      <c r="O16" s="15"/>
      <c r="P16" s="15"/>
    </row>
    <row r="17" spans="1:16">
      <c r="A17" s="7">
        <v>6801</v>
      </c>
      <c r="B17" s="7" t="s">
        <v>332</v>
      </c>
      <c r="C17" s="7">
        <v>460</v>
      </c>
      <c r="D17" s="7">
        <v>1.2</v>
      </c>
      <c r="E17" s="7">
        <f t="shared" si="0"/>
        <v>552</v>
      </c>
      <c r="F17" s="7" t="s">
        <v>212</v>
      </c>
      <c r="O17" s="15"/>
      <c r="P17" s="15"/>
    </row>
    <row r="18" spans="1:16">
      <c r="A18" s="7">
        <v>6790</v>
      </c>
      <c r="B18" s="7" t="s">
        <v>291</v>
      </c>
      <c r="C18" s="7">
        <v>560</v>
      </c>
      <c r="D18" s="7">
        <v>1.2</v>
      </c>
      <c r="E18" s="7">
        <f t="shared" si="0"/>
        <v>672</v>
      </c>
      <c r="F18" s="7" t="s">
        <v>655</v>
      </c>
      <c r="O18" s="15"/>
      <c r="P18" s="15"/>
    </row>
    <row r="19" spans="1:16">
      <c r="A19" s="7">
        <v>6788</v>
      </c>
      <c r="B19" s="7" t="s">
        <v>944</v>
      </c>
      <c r="C19" s="7">
        <v>560</v>
      </c>
      <c r="D19" s="7">
        <v>1.2</v>
      </c>
      <c r="E19" s="7">
        <f t="shared" si="0"/>
        <v>672</v>
      </c>
      <c r="F19" s="7" t="s">
        <v>655</v>
      </c>
      <c r="O19" s="15"/>
      <c r="P19" s="15"/>
    </row>
    <row r="20" spans="3:12">
      <c r="C20" s="8" t="s">
        <v>18</v>
      </c>
      <c r="D20" s="9"/>
      <c r="E20" s="8">
        <f>SUM(E5:E19)</f>
        <v>10032</v>
      </c>
      <c r="F20" s="12"/>
      <c r="I20" s="12"/>
      <c r="J20" s="12"/>
      <c r="K20" s="12"/>
      <c r="L20" s="12"/>
    </row>
    <row r="21" spans="9:12">
      <c r="I21" s="12"/>
      <c r="J21" s="12"/>
      <c r="K21" s="12"/>
      <c r="L21" s="12"/>
    </row>
    <row r="22" spans="9:12">
      <c r="I22" s="12"/>
      <c r="J22" s="12"/>
      <c r="K22" s="12"/>
      <c r="L22" s="12"/>
    </row>
    <row r="23" spans="9:12">
      <c r="I23" s="12"/>
      <c r="J23" s="12"/>
      <c r="K23" s="12"/>
      <c r="L23" s="12"/>
    </row>
    <row r="24" spans="9:12">
      <c r="I24" s="13"/>
      <c r="J24" s="12"/>
      <c r="K24" s="12"/>
      <c r="L24" s="12"/>
    </row>
    <row r="27" spans="15:16">
      <c r="O27" s="14"/>
      <c r="P27" s="14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  <row r="36" spans="15:16">
      <c r="O36" s="15"/>
      <c r="P36" s="15"/>
    </row>
  </sheetData>
  <mergeCells count="6">
    <mergeCell ref="A1:C1"/>
    <mergeCell ref="D1:F1"/>
    <mergeCell ref="A2:C2"/>
    <mergeCell ref="D2:F2"/>
    <mergeCell ref="A3:F3"/>
    <mergeCell ref="C20:D20"/>
  </mergeCells>
  <pageMargins left="0.7" right="0.7" top="0.75" bottom="0.75" header="0.3" footer="0.3"/>
  <pageSetup paperSize="9" orientation="portrait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17" sqref="G17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945</v>
      </c>
      <c r="B1" s="1"/>
      <c r="C1" s="1"/>
      <c r="D1" s="1" t="s">
        <v>938</v>
      </c>
      <c r="E1" s="1"/>
      <c r="F1" s="1"/>
    </row>
    <row r="2" spans="1:16">
      <c r="A2" s="2" t="s">
        <v>799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6638</v>
      </c>
      <c r="B5" s="7" t="s">
        <v>313</v>
      </c>
      <c r="C5" s="7">
        <v>50</v>
      </c>
      <c r="D5" s="7">
        <v>1.2</v>
      </c>
      <c r="E5" s="7">
        <f>C5*D5</f>
        <v>60</v>
      </c>
      <c r="F5" s="7" t="s">
        <v>570</v>
      </c>
      <c r="O5" s="15"/>
      <c r="P5" s="15"/>
    </row>
    <row r="6" spans="1:16">
      <c r="A6" s="18">
        <v>6842</v>
      </c>
      <c r="B6" s="7" t="s">
        <v>261</v>
      </c>
      <c r="C6" s="17">
        <v>50</v>
      </c>
      <c r="D6" s="7">
        <v>1.2</v>
      </c>
      <c r="E6" s="7">
        <f>C6*D6</f>
        <v>60</v>
      </c>
      <c r="F6" s="7" t="s">
        <v>570</v>
      </c>
      <c r="O6" s="15"/>
      <c r="P6" s="15"/>
    </row>
    <row r="7" spans="1:16">
      <c r="A7" s="19">
        <v>6826</v>
      </c>
      <c r="B7" s="7" t="s">
        <v>253</v>
      </c>
      <c r="C7" s="7">
        <v>50</v>
      </c>
      <c r="D7" s="7">
        <v>1.2</v>
      </c>
      <c r="E7" s="7">
        <f>C7*D7</f>
        <v>60</v>
      </c>
      <c r="F7" s="7" t="s">
        <v>570</v>
      </c>
      <c r="O7" s="15"/>
      <c r="P7" s="15"/>
    </row>
    <row r="8" spans="1:16">
      <c r="A8" s="7">
        <v>6634</v>
      </c>
      <c r="B8" s="7" t="s">
        <v>946</v>
      </c>
      <c r="C8" s="7">
        <v>50</v>
      </c>
      <c r="D8" s="7">
        <v>1.2</v>
      </c>
      <c r="E8" s="7">
        <f>C8*D8</f>
        <v>60</v>
      </c>
      <c r="F8" s="7" t="s">
        <v>570</v>
      </c>
      <c r="O8" s="15"/>
      <c r="P8" s="15"/>
    </row>
    <row r="9" spans="1:16">
      <c r="A9" s="7">
        <v>6635</v>
      </c>
      <c r="B9" s="7" t="s">
        <v>215</v>
      </c>
      <c r="C9" s="7">
        <v>50</v>
      </c>
      <c r="D9" s="7">
        <v>1.2</v>
      </c>
      <c r="E9" s="7">
        <f>C9*D9</f>
        <v>60</v>
      </c>
      <c r="F9" s="7" t="s">
        <v>570</v>
      </c>
      <c r="O9" s="15"/>
      <c r="P9" s="15"/>
    </row>
    <row r="10" spans="3:12">
      <c r="C10" s="8" t="s">
        <v>18</v>
      </c>
      <c r="D10" s="9"/>
      <c r="E10" s="8">
        <f>SUM(E5:E9)</f>
        <v>300</v>
      </c>
      <c r="F10" s="12"/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2"/>
      <c r="J12" s="12"/>
      <c r="K12" s="12"/>
      <c r="L12" s="12"/>
    </row>
    <row r="13" spans="9:12">
      <c r="I13" s="12"/>
      <c r="J13" s="12"/>
      <c r="K13" s="12"/>
      <c r="L13" s="12"/>
    </row>
    <row r="14" spans="9:12">
      <c r="I14" s="13"/>
      <c r="J14" s="12"/>
      <c r="K14" s="12"/>
      <c r="L14" s="12"/>
    </row>
    <row r="17" spans="15:16">
      <c r="O17" s="14"/>
      <c r="P17" s="14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pageSetup paperSize="9" orientation="portrait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I15" sqref="I15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947</v>
      </c>
      <c r="B1" s="1"/>
      <c r="C1" s="1"/>
      <c r="D1" s="1" t="s">
        <v>938</v>
      </c>
      <c r="E1" s="1"/>
      <c r="F1" s="1"/>
    </row>
    <row r="2" spans="1:16">
      <c r="A2" s="2" t="s">
        <v>781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>
        <v>6638</v>
      </c>
      <c r="B5" s="7" t="s">
        <v>313</v>
      </c>
      <c r="C5" s="7">
        <v>350</v>
      </c>
      <c r="D5" s="7">
        <v>1.2</v>
      </c>
      <c r="E5" s="7">
        <f t="shared" ref="E5:E9" si="0">C5*D5</f>
        <v>420</v>
      </c>
      <c r="F5" s="7" t="s">
        <v>570</v>
      </c>
      <c r="O5" s="15"/>
      <c r="P5" s="15"/>
    </row>
    <row r="6" spans="1:16">
      <c r="A6" s="18">
        <v>6842</v>
      </c>
      <c r="B6" s="7" t="s">
        <v>261</v>
      </c>
      <c r="C6" s="17">
        <v>350</v>
      </c>
      <c r="D6" s="7">
        <v>1.2</v>
      </c>
      <c r="E6" s="7">
        <f t="shared" si="0"/>
        <v>420</v>
      </c>
      <c r="F6" s="7" t="s">
        <v>570</v>
      </c>
      <c r="O6" s="15"/>
      <c r="P6" s="15"/>
    </row>
    <row r="7" spans="1:16">
      <c r="A7" s="19">
        <v>6826</v>
      </c>
      <c r="B7" s="7" t="s">
        <v>253</v>
      </c>
      <c r="C7" s="7">
        <v>350</v>
      </c>
      <c r="D7" s="7">
        <v>1.2</v>
      </c>
      <c r="E7" s="7">
        <f t="shared" si="0"/>
        <v>420</v>
      </c>
      <c r="F7" s="7" t="s">
        <v>570</v>
      </c>
      <c r="O7" s="15"/>
      <c r="P7" s="15"/>
    </row>
    <row r="8" spans="1:16">
      <c r="A8" s="7">
        <v>6634</v>
      </c>
      <c r="B8" s="7" t="s">
        <v>946</v>
      </c>
      <c r="C8" s="7">
        <v>350</v>
      </c>
      <c r="D8" s="7">
        <v>1.2</v>
      </c>
      <c r="E8" s="7">
        <f t="shared" si="0"/>
        <v>420</v>
      </c>
      <c r="F8" s="7" t="s">
        <v>570</v>
      </c>
      <c r="O8" s="15"/>
      <c r="P8" s="15"/>
    </row>
    <row r="9" spans="1:16">
      <c r="A9" s="7">
        <v>6635</v>
      </c>
      <c r="B9" s="7" t="s">
        <v>215</v>
      </c>
      <c r="C9" s="7">
        <v>350</v>
      </c>
      <c r="D9" s="7">
        <v>1.2</v>
      </c>
      <c r="E9" s="7">
        <f t="shared" si="0"/>
        <v>420</v>
      </c>
      <c r="F9" s="7" t="s">
        <v>570</v>
      </c>
      <c r="O9" s="15"/>
      <c r="P9" s="15"/>
    </row>
    <row r="10" spans="3:12">
      <c r="C10" s="8" t="s">
        <v>18</v>
      </c>
      <c r="D10" s="9"/>
      <c r="E10" s="8">
        <f>SUM(E5:E9)</f>
        <v>2100</v>
      </c>
      <c r="F10" s="12"/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2"/>
      <c r="J12" s="12"/>
      <c r="K12" s="12"/>
      <c r="L12" s="12"/>
    </row>
    <row r="13" spans="9:12">
      <c r="I13" s="12"/>
      <c r="J13" s="12"/>
      <c r="K13" s="12"/>
      <c r="L13" s="12"/>
    </row>
    <row r="14" spans="9:12">
      <c r="I14" s="13"/>
      <c r="J14" s="12"/>
      <c r="K14" s="12"/>
      <c r="L14" s="12"/>
    </row>
    <row r="17" spans="15:16">
      <c r="O17" s="14"/>
      <c r="P17" s="14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  <row r="25" spans="15:16">
      <c r="O25" s="15"/>
      <c r="P25" s="15"/>
    </row>
    <row r="26" spans="15:16">
      <c r="O26" s="15"/>
      <c r="P26" s="15"/>
    </row>
  </sheetData>
  <mergeCells count="6">
    <mergeCell ref="A1:C1"/>
    <mergeCell ref="D1:F1"/>
    <mergeCell ref="A2:C2"/>
    <mergeCell ref="D2:F2"/>
    <mergeCell ref="A3:F3"/>
    <mergeCell ref="C10:D10"/>
  </mergeCells>
  <pageMargins left="0.7" right="0.7" top="0.75" bottom="0.75" header="0.3" footer="0.3"/>
  <pageSetup paperSize="9" orientation="portrait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C14" sqref="C14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948</v>
      </c>
      <c r="B1" s="1"/>
      <c r="C1" s="1"/>
      <c r="D1" s="1" t="s">
        <v>938</v>
      </c>
      <c r="E1" s="1"/>
      <c r="F1" s="1"/>
    </row>
    <row r="2" spans="1:16">
      <c r="A2" s="2" t="s">
        <v>778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16">
        <v>6738</v>
      </c>
      <c r="B5" s="7" t="s">
        <v>323</v>
      </c>
      <c r="C5" s="7">
        <v>50</v>
      </c>
      <c r="D5" s="7">
        <v>1.2</v>
      </c>
      <c r="E5" s="7">
        <f>C5*D5</f>
        <v>60</v>
      </c>
      <c r="F5" s="7" t="s">
        <v>570</v>
      </c>
      <c r="O5" s="15"/>
      <c r="P5" s="15"/>
    </row>
    <row r="6" spans="1:16">
      <c r="A6" s="16">
        <v>6736</v>
      </c>
      <c r="B6" s="7" t="s">
        <v>234</v>
      </c>
      <c r="C6" s="17">
        <v>50</v>
      </c>
      <c r="D6" s="7">
        <v>1.2</v>
      </c>
      <c r="E6" s="7">
        <f>C6*D6</f>
        <v>60</v>
      </c>
      <c r="F6" s="7" t="s">
        <v>570</v>
      </c>
      <c r="O6" s="15"/>
      <c r="P6" s="15"/>
    </row>
    <row r="7" spans="1:16">
      <c r="A7" s="18">
        <v>6843</v>
      </c>
      <c r="B7" s="7" t="s">
        <v>341</v>
      </c>
      <c r="C7" s="7">
        <v>60</v>
      </c>
      <c r="D7" s="7">
        <v>1.2</v>
      </c>
      <c r="E7" s="7">
        <f>C7*D7</f>
        <v>72</v>
      </c>
      <c r="F7" s="7" t="s">
        <v>570</v>
      </c>
      <c r="O7" s="15"/>
      <c r="P7" s="15"/>
    </row>
    <row r="8" spans="3:12">
      <c r="C8" s="8" t="s">
        <v>18</v>
      </c>
      <c r="D8" s="9"/>
      <c r="E8" s="8">
        <f>SUM(E5:E7)</f>
        <v>192</v>
      </c>
      <c r="F8" s="12"/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2"/>
      <c r="J10" s="12"/>
      <c r="K10" s="12"/>
      <c r="L10" s="12"/>
    </row>
    <row r="11" spans="9:12">
      <c r="I11" s="12"/>
      <c r="J11" s="12"/>
      <c r="K11" s="12"/>
      <c r="L11" s="12"/>
    </row>
    <row r="12" spans="9:12">
      <c r="I12" s="13"/>
      <c r="J12" s="12"/>
      <c r="K12" s="12"/>
      <c r="L12" s="12"/>
    </row>
    <row r="15" spans="15:16">
      <c r="O15" s="14"/>
      <c r="P15" s="14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  <row r="23" spans="15:16">
      <c r="O23" s="15"/>
      <c r="P23" s="15"/>
    </row>
    <row r="24" spans="15:16">
      <c r="O24" s="15"/>
      <c r="P24" s="15"/>
    </row>
  </sheetData>
  <mergeCells count="6">
    <mergeCell ref="A1:C1"/>
    <mergeCell ref="D1:F1"/>
    <mergeCell ref="A2:C2"/>
    <mergeCell ref="D2:F2"/>
    <mergeCell ref="A3:F3"/>
    <mergeCell ref="C8:D8"/>
  </mergeCells>
  <pageMargins left="0.7" right="0.7" top="0.75" bottom="0.75" header="0.3" footer="0.3"/>
  <pageSetup paperSize="9" orientation="portrait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16" sqref="H16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949</v>
      </c>
      <c r="B1" s="1"/>
      <c r="C1" s="1"/>
      <c r="D1" s="1" t="s">
        <v>938</v>
      </c>
      <c r="E1" s="1"/>
      <c r="F1" s="1"/>
    </row>
    <row r="2" spans="1:16">
      <c r="A2" s="2" t="s">
        <v>773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16" t="s">
        <v>49</v>
      </c>
      <c r="B5" s="7" t="s">
        <v>950</v>
      </c>
      <c r="C5" s="7">
        <v>60</v>
      </c>
      <c r="D5" s="7">
        <v>2875</v>
      </c>
      <c r="E5" s="7">
        <f>D5*C5</f>
        <v>172500</v>
      </c>
      <c r="F5" s="7" t="s">
        <v>49</v>
      </c>
      <c r="O5" s="15"/>
      <c r="P5" s="15"/>
    </row>
    <row r="6" spans="3:12">
      <c r="C6" s="8" t="s">
        <v>18</v>
      </c>
      <c r="D6" s="9"/>
      <c r="E6" s="8">
        <f>SUM(E5:E5)</f>
        <v>172500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I13" sqref="I13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951</v>
      </c>
      <c r="B1" s="1"/>
      <c r="C1" s="1"/>
      <c r="D1" s="1" t="s">
        <v>938</v>
      </c>
      <c r="E1" s="1"/>
      <c r="F1" s="1"/>
    </row>
    <row r="2" spans="1:16">
      <c r="A2" s="2" t="s">
        <v>841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16" t="s">
        <v>49</v>
      </c>
      <c r="B5" s="7" t="s">
        <v>952</v>
      </c>
      <c r="C5" s="7">
        <v>150</v>
      </c>
      <c r="D5" s="7">
        <v>2710</v>
      </c>
      <c r="E5" s="7">
        <f>D5*C5</f>
        <v>406500</v>
      </c>
      <c r="F5" s="7" t="s">
        <v>49</v>
      </c>
      <c r="O5" s="15"/>
      <c r="P5" s="15"/>
    </row>
    <row r="6" spans="3:12">
      <c r="C6" s="8" t="s">
        <v>18</v>
      </c>
      <c r="D6" s="9"/>
      <c r="E6" s="8">
        <f>SUM(E5:E5)</f>
        <v>406500</v>
      </c>
      <c r="F6" s="12"/>
      <c r="I6" s="12"/>
      <c r="J6" s="12"/>
      <c r="K6" s="12"/>
      <c r="L6" s="12"/>
    </row>
    <row r="7" spans="9:12">
      <c r="I7" s="12"/>
      <c r="J7" s="12"/>
      <c r="K7" s="12"/>
      <c r="L7" s="12"/>
    </row>
    <row r="8" spans="9:12">
      <c r="I8" s="12"/>
      <c r="J8" s="12"/>
      <c r="K8" s="12"/>
      <c r="L8" s="12"/>
    </row>
    <row r="9" spans="9:12">
      <c r="I9" s="12"/>
      <c r="J9" s="12"/>
      <c r="K9" s="12"/>
      <c r="L9" s="12"/>
    </row>
    <row r="10" spans="9:12">
      <c r="I10" s="13"/>
      <c r="J10" s="12"/>
      <c r="K10" s="12"/>
      <c r="L10" s="12"/>
    </row>
    <row r="13" spans="15:16">
      <c r="O13" s="14"/>
      <c r="P13" s="14"/>
    </row>
    <row r="14" spans="15:16">
      <c r="O14" s="15"/>
      <c r="P14" s="15"/>
    </row>
    <row r="15" spans="15:16">
      <c r="O15" s="15"/>
      <c r="P15" s="15"/>
    </row>
    <row r="16" spans="15:16">
      <c r="O16" s="15"/>
      <c r="P16" s="15"/>
    </row>
    <row r="17" spans="15:16">
      <c r="O17" s="15"/>
      <c r="P17" s="15"/>
    </row>
    <row r="18" spans="15:16">
      <c r="O18" s="15"/>
      <c r="P18" s="15"/>
    </row>
    <row r="19" spans="15:16">
      <c r="O19" s="15"/>
      <c r="P19" s="15"/>
    </row>
    <row r="20" spans="15:16">
      <c r="O20" s="15"/>
      <c r="P20" s="15"/>
    </row>
    <row r="21" spans="15:16">
      <c r="O21" s="15"/>
      <c r="P21" s="15"/>
    </row>
    <row r="22" spans="15:16">
      <c r="O22" s="15"/>
      <c r="P22" s="15"/>
    </row>
  </sheetData>
  <mergeCells count="6">
    <mergeCell ref="A1:C1"/>
    <mergeCell ref="D1:F1"/>
    <mergeCell ref="A2:C2"/>
    <mergeCell ref="D2:F2"/>
    <mergeCell ref="A3:F3"/>
    <mergeCell ref="C6:D6"/>
  </mergeCells>
  <pageMargins left="0.7" right="0.7" top="0.75" bottom="0.75" header="0.3" footer="0.3"/>
  <pageSetup paperSize="9" orientation="portrait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workbookViewId="0">
      <selection activeCell="J42" sqref="J42"/>
    </sheetView>
  </sheetViews>
  <sheetFormatPr defaultColWidth="9" defaultRowHeight="14.25"/>
  <cols>
    <col min="2" max="2" width="10.375" customWidth="1"/>
    <col min="5" max="5" width="12.4416666666667" customWidth="1"/>
    <col min="6" max="6" width="14" customWidth="1"/>
  </cols>
  <sheetData>
    <row r="1" spans="1:6">
      <c r="A1" s="1" t="s">
        <v>953</v>
      </c>
      <c r="B1" s="1"/>
      <c r="C1" s="1"/>
      <c r="D1" s="1" t="s">
        <v>938</v>
      </c>
      <c r="E1" s="1"/>
      <c r="F1" s="1"/>
    </row>
    <row r="2" spans="1:16">
      <c r="A2" s="2" t="s">
        <v>817</v>
      </c>
      <c r="B2" s="3"/>
      <c r="C2" s="4"/>
      <c r="D2" s="2" t="s">
        <v>4</v>
      </c>
      <c r="E2" s="3"/>
      <c r="F2" s="4"/>
      <c r="O2" s="14"/>
      <c r="P2" s="14"/>
    </row>
    <row r="3" spans="1:16">
      <c r="A3" s="5" t="s">
        <v>5</v>
      </c>
      <c r="B3" s="6"/>
      <c r="C3" s="6"/>
      <c r="D3" s="6"/>
      <c r="E3" s="10"/>
      <c r="F3" s="11"/>
      <c r="O3" s="15"/>
      <c r="P3" s="15"/>
    </row>
    <row r="4" spans="1:16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O4" s="15"/>
      <c r="P4" s="15"/>
    </row>
    <row r="5" spans="1:16">
      <c r="A5" s="7" t="s">
        <v>49</v>
      </c>
      <c r="B5" s="7" t="s">
        <v>233</v>
      </c>
      <c r="C5" s="7">
        <v>50</v>
      </c>
      <c r="D5" s="7">
        <f t="shared" ref="D5:D18" si="0">25.35*116</f>
        <v>2940.6</v>
      </c>
      <c r="E5" s="7">
        <f>C5*D5</f>
        <v>147030</v>
      </c>
      <c r="F5" s="7" t="s">
        <v>49</v>
      </c>
      <c r="O5" s="15"/>
      <c r="P5" s="15"/>
    </row>
    <row r="6" spans="1:16">
      <c r="A6" s="7" t="s">
        <v>49</v>
      </c>
      <c r="B6" s="7" t="s">
        <v>378</v>
      </c>
      <c r="C6" s="7">
        <v>50</v>
      </c>
      <c r="D6" s="7">
        <f t="shared" si="0"/>
        <v>2940.6</v>
      </c>
      <c r="E6" s="7">
        <f t="shared" ref="E6:E18" si="1">C6*D6</f>
        <v>147030</v>
      </c>
      <c r="F6" s="7" t="s">
        <v>49</v>
      </c>
      <c r="O6" s="15"/>
      <c r="P6" s="15"/>
    </row>
    <row r="7" spans="1:16">
      <c r="A7" s="7" t="s">
        <v>49</v>
      </c>
      <c r="B7" s="7" t="s">
        <v>377</v>
      </c>
      <c r="C7" s="7">
        <v>50</v>
      </c>
      <c r="D7" s="7">
        <f t="shared" si="0"/>
        <v>2940.6</v>
      </c>
      <c r="E7" s="7">
        <f t="shared" si="1"/>
        <v>147030</v>
      </c>
      <c r="F7" s="7" t="s">
        <v>49</v>
      </c>
      <c r="O7" s="15"/>
      <c r="P7" s="15"/>
    </row>
    <row r="8" spans="1:16">
      <c r="A8" s="7" t="s">
        <v>49</v>
      </c>
      <c r="B8" s="7" t="s">
        <v>776</v>
      </c>
      <c r="C8" s="7">
        <v>600</v>
      </c>
      <c r="D8" s="7">
        <f t="shared" si="0"/>
        <v>2940.6</v>
      </c>
      <c r="E8" s="7">
        <f t="shared" si="1"/>
        <v>1764360</v>
      </c>
      <c r="F8" s="7" t="s">
        <v>49</v>
      </c>
      <c r="O8" s="15"/>
      <c r="P8" s="15"/>
    </row>
    <row r="9" spans="1:16">
      <c r="A9" s="7" t="s">
        <v>49</v>
      </c>
      <c r="B9" s="7" t="s">
        <v>153</v>
      </c>
      <c r="C9" s="7">
        <v>560</v>
      </c>
      <c r="D9" s="7">
        <f t="shared" si="0"/>
        <v>2940.6</v>
      </c>
      <c r="E9" s="7">
        <f t="shared" si="1"/>
        <v>1646736</v>
      </c>
      <c r="F9" s="7" t="s">
        <v>49</v>
      </c>
      <c r="O9" s="15"/>
      <c r="P9" s="15"/>
    </row>
    <row r="10" spans="1:16">
      <c r="A10" s="7" t="s">
        <v>49</v>
      </c>
      <c r="B10" s="7" t="s">
        <v>99</v>
      </c>
      <c r="C10" s="7">
        <v>200</v>
      </c>
      <c r="D10" s="7">
        <f t="shared" si="0"/>
        <v>2940.6</v>
      </c>
      <c r="E10" s="7">
        <f t="shared" si="1"/>
        <v>588120</v>
      </c>
      <c r="F10" s="7" t="s">
        <v>49</v>
      </c>
      <c r="O10" s="15"/>
      <c r="P10" s="15"/>
    </row>
    <row r="11" spans="1:16">
      <c r="A11" s="7" t="s">
        <v>49</v>
      </c>
      <c r="B11" s="7" t="s">
        <v>894</v>
      </c>
      <c r="C11" s="7">
        <v>350</v>
      </c>
      <c r="D11" s="7">
        <f t="shared" si="0"/>
        <v>2940.6</v>
      </c>
      <c r="E11" s="7">
        <f t="shared" si="1"/>
        <v>1029210</v>
      </c>
      <c r="F11" s="7" t="s">
        <v>49</v>
      </c>
      <c r="O11" s="15"/>
      <c r="P11" s="15"/>
    </row>
    <row r="12" spans="1:16">
      <c r="A12" s="7" t="s">
        <v>49</v>
      </c>
      <c r="B12" s="7" t="s">
        <v>323</v>
      </c>
      <c r="C12" s="7">
        <v>50</v>
      </c>
      <c r="D12" s="7">
        <f t="shared" si="0"/>
        <v>2940.6</v>
      </c>
      <c r="E12" s="7">
        <f t="shared" si="1"/>
        <v>147030</v>
      </c>
      <c r="F12" s="7" t="s">
        <v>49</v>
      </c>
      <c r="O12" s="15"/>
      <c r="P12" s="15"/>
    </row>
    <row r="13" spans="1:16">
      <c r="A13" s="7" t="s">
        <v>49</v>
      </c>
      <c r="B13" s="7" t="s">
        <v>377</v>
      </c>
      <c r="C13" s="7">
        <v>350</v>
      </c>
      <c r="D13" s="7">
        <f t="shared" si="0"/>
        <v>2940.6</v>
      </c>
      <c r="E13" s="7">
        <f t="shared" si="1"/>
        <v>1029210</v>
      </c>
      <c r="F13" s="7" t="s">
        <v>49</v>
      </c>
      <c r="O13" s="15"/>
      <c r="P13" s="15"/>
    </row>
    <row r="14" spans="1:16">
      <c r="A14" s="7" t="s">
        <v>49</v>
      </c>
      <c r="B14" s="7" t="s">
        <v>233</v>
      </c>
      <c r="C14" s="7">
        <v>350</v>
      </c>
      <c r="D14" s="7">
        <f t="shared" si="0"/>
        <v>2940.6</v>
      </c>
      <c r="E14" s="7">
        <f t="shared" si="1"/>
        <v>1029210</v>
      </c>
      <c r="F14" s="7" t="s">
        <v>49</v>
      </c>
      <c r="O14" s="15"/>
      <c r="P14" s="15"/>
    </row>
    <row r="15" spans="1:16">
      <c r="A15" s="7" t="s">
        <v>49</v>
      </c>
      <c r="B15" s="7" t="s">
        <v>378</v>
      </c>
      <c r="C15" s="7">
        <v>350</v>
      </c>
      <c r="D15" s="7">
        <f t="shared" si="0"/>
        <v>2940.6</v>
      </c>
      <c r="E15" s="7">
        <f t="shared" si="1"/>
        <v>1029210</v>
      </c>
      <c r="F15" s="7" t="s">
        <v>49</v>
      </c>
      <c r="O15" s="15"/>
      <c r="P15" s="15"/>
    </row>
    <row r="16" spans="1:16">
      <c r="A16" s="7" t="s">
        <v>49</v>
      </c>
      <c r="B16" s="7" t="s">
        <v>207</v>
      </c>
      <c r="C16" s="7">
        <v>90</v>
      </c>
      <c r="D16" s="7">
        <f t="shared" si="0"/>
        <v>2940.6</v>
      </c>
      <c r="E16" s="7">
        <f t="shared" si="1"/>
        <v>264654</v>
      </c>
      <c r="F16" s="7" t="s">
        <v>49</v>
      </c>
      <c r="O16" s="15"/>
      <c r="P16" s="15"/>
    </row>
    <row r="17" spans="1:16">
      <c r="A17" s="7" t="s">
        <v>49</v>
      </c>
      <c r="B17" s="7" t="s">
        <v>725</v>
      </c>
      <c r="C17" s="7">
        <v>60</v>
      </c>
      <c r="D17" s="7">
        <f t="shared" si="0"/>
        <v>2940.6</v>
      </c>
      <c r="E17" s="7">
        <f t="shared" si="1"/>
        <v>176436</v>
      </c>
      <c r="F17" s="7" t="s">
        <v>49</v>
      </c>
      <c r="O17" s="15"/>
      <c r="P17" s="15"/>
    </row>
    <row r="18" spans="1:16">
      <c r="A18" s="7" t="s">
        <v>49</v>
      </c>
      <c r="B18" s="7" t="s">
        <v>341</v>
      </c>
      <c r="C18" s="7">
        <v>60</v>
      </c>
      <c r="D18" s="7">
        <f t="shared" si="0"/>
        <v>2940.6</v>
      </c>
      <c r="E18" s="7">
        <f t="shared" si="1"/>
        <v>176436</v>
      </c>
      <c r="F18" s="7" t="s">
        <v>49</v>
      </c>
      <c r="O18" s="15"/>
      <c r="P18" s="15"/>
    </row>
    <row r="19" spans="3:12">
      <c r="C19" s="8" t="s">
        <v>18</v>
      </c>
      <c r="D19" s="9"/>
      <c r="E19" s="8">
        <f>SUM(E5:E18)</f>
        <v>9321702</v>
      </c>
      <c r="F19" s="12"/>
      <c r="I19" s="12"/>
      <c r="J19" s="12"/>
      <c r="K19" s="12"/>
      <c r="L19" s="12"/>
    </row>
    <row r="20" spans="9:12">
      <c r="I20" s="12"/>
      <c r="J20" s="12"/>
      <c r="K20" s="12"/>
      <c r="L20" s="12"/>
    </row>
    <row r="21" spans="9:12">
      <c r="I21" s="12"/>
      <c r="J21" s="12"/>
      <c r="K21" s="12"/>
      <c r="L21" s="12"/>
    </row>
    <row r="22" spans="9:12">
      <c r="I22" s="12"/>
      <c r="J22" s="12"/>
      <c r="K22" s="12"/>
      <c r="L22" s="12"/>
    </row>
    <row r="23" spans="9:12">
      <c r="I23" s="13"/>
      <c r="J23" s="12"/>
      <c r="K23" s="12"/>
      <c r="L23" s="12"/>
    </row>
    <row r="26" spans="15:16">
      <c r="O26" s="14"/>
      <c r="P26" s="14"/>
    </row>
    <row r="27" spans="15:16">
      <c r="O27" s="15"/>
      <c r="P27" s="15"/>
    </row>
    <row r="28" spans="15:16">
      <c r="O28" s="15"/>
      <c r="P28" s="15"/>
    </row>
    <row r="29" spans="15:16">
      <c r="O29" s="15"/>
      <c r="P29" s="15"/>
    </row>
    <row r="30" spans="15:16">
      <c r="O30" s="15"/>
      <c r="P30" s="15"/>
    </row>
    <row r="31" spans="15:16">
      <c r="O31" s="15"/>
      <c r="P31" s="15"/>
    </row>
    <row r="32" spans="15:16">
      <c r="O32" s="15"/>
      <c r="P32" s="15"/>
    </row>
    <row r="33" spans="15:16">
      <c r="O33" s="15"/>
      <c r="P33" s="15"/>
    </row>
    <row r="34" spans="15:16">
      <c r="O34" s="15"/>
      <c r="P34" s="15"/>
    </row>
    <row r="35" spans="15:16">
      <c r="O35" s="15"/>
      <c r="P35" s="15"/>
    </row>
  </sheetData>
  <mergeCells count="6">
    <mergeCell ref="A1:C1"/>
    <mergeCell ref="D1:F1"/>
    <mergeCell ref="A2:C2"/>
    <mergeCell ref="D2:F2"/>
    <mergeCell ref="A3:F3"/>
    <mergeCell ref="C19:D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379</vt:i4>
      </vt:variant>
    </vt:vector>
  </HeadingPairs>
  <TitlesOfParts>
    <vt:vector size="379" baseType="lpstr"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2035</vt:lpstr>
      <vt:lpstr>2036</vt:lpstr>
      <vt:lpstr>2037</vt:lpstr>
      <vt:lpstr>2038</vt:lpstr>
      <vt:lpstr>2039</vt:lpstr>
      <vt:lpstr>2040</vt:lpstr>
      <vt:lpstr>2041</vt:lpstr>
      <vt:lpstr>2042</vt:lpstr>
      <vt:lpstr>2043</vt:lpstr>
      <vt:lpstr>2044</vt:lpstr>
      <vt:lpstr>2045</vt:lpstr>
      <vt:lpstr>2046</vt:lpstr>
      <vt:lpstr>2047</vt:lpstr>
      <vt:lpstr>2048</vt:lpstr>
      <vt:lpstr>2049</vt:lpstr>
      <vt:lpstr>2050</vt:lpstr>
      <vt:lpstr>2051</vt:lpstr>
      <vt:lpstr>2052</vt:lpstr>
      <vt:lpstr>2053</vt:lpstr>
      <vt:lpstr>2054</vt:lpstr>
      <vt:lpstr>2055</vt:lpstr>
      <vt:lpstr>2056</vt:lpstr>
      <vt:lpstr>2057</vt:lpstr>
      <vt:lpstr>2058</vt:lpstr>
      <vt:lpstr>2059</vt:lpstr>
      <vt:lpstr>2060</vt:lpstr>
      <vt:lpstr>2061</vt:lpstr>
      <vt:lpstr>2062</vt:lpstr>
      <vt:lpstr>2063</vt:lpstr>
      <vt:lpstr>2064</vt:lpstr>
      <vt:lpstr>2065</vt:lpstr>
      <vt:lpstr>2066</vt:lpstr>
      <vt:lpstr>2067</vt:lpstr>
      <vt:lpstr>2068</vt:lpstr>
      <vt:lpstr>2069</vt:lpstr>
      <vt:lpstr>2070</vt:lpstr>
      <vt:lpstr>2071</vt:lpstr>
      <vt:lpstr>2072</vt:lpstr>
      <vt:lpstr>2073</vt:lpstr>
      <vt:lpstr>2074</vt:lpstr>
      <vt:lpstr>2075</vt:lpstr>
      <vt:lpstr>2076</vt:lpstr>
      <vt:lpstr>2077</vt:lpstr>
      <vt:lpstr>2078</vt:lpstr>
      <vt:lpstr>2079</vt:lpstr>
      <vt:lpstr>2080</vt:lpstr>
      <vt:lpstr>2081</vt:lpstr>
      <vt:lpstr>2082</vt:lpstr>
      <vt:lpstr>2083</vt:lpstr>
      <vt:lpstr>2084</vt:lpstr>
      <vt:lpstr>2085</vt:lpstr>
      <vt:lpstr>2086</vt:lpstr>
      <vt:lpstr>2087</vt:lpstr>
      <vt:lpstr>2088</vt:lpstr>
      <vt:lpstr>2089</vt:lpstr>
      <vt:lpstr>2090</vt:lpstr>
      <vt:lpstr>2091</vt:lpstr>
      <vt:lpstr>2092</vt:lpstr>
      <vt:lpstr>2093</vt:lpstr>
      <vt:lpstr>2094</vt:lpstr>
      <vt:lpstr>2095</vt:lpstr>
      <vt:lpstr>2096</vt:lpstr>
      <vt:lpstr>2097</vt:lpstr>
      <vt:lpstr>2098</vt:lpstr>
      <vt:lpstr>2099</vt:lpstr>
      <vt:lpstr>2100</vt:lpstr>
      <vt:lpstr>2101</vt:lpstr>
      <vt:lpstr>2102</vt:lpstr>
      <vt:lpstr>2103</vt:lpstr>
      <vt:lpstr>2104</vt:lpstr>
      <vt:lpstr>2105</vt:lpstr>
      <vt:lpstr>2106</vt:lpstr>
      <vt:lpstr>2107</vt:lpstr>
      <vt:lpstr>2108</vt:lpstr>
      <vt:lpstr>2109</vt:lpstr>
      <vt:lpstr>2110</vt:lpstr>
      <vt:lpstr>2111</vt:lpstr>
      <vt:lpstr>2112</vt:lpstr>
      <vt:lpstr>2113</vt:lpstr>
      <vt:lpstr>2114</vt:lpstr>
      <vt:lpstr>2115</vt:lpstr>
      <vt:lpstr>2116</vt:lpstr>
      <vt:lpstr>2117</vt:lpstr>
      <vt:lpstr>2118</vt:lpstr>
      <vt:lpstr>2119</vt:lpstr>
      <vt:lpstr>2120</vt:lpstr>
      <vt:lpstr>2121</vt:lpstr>
      <vt:lpstr>2122</vt:lpstr>
      <vt:lpstr>2123</vt:lpstr>
      <vt:lpstr>2124</vt:lpstr>
      <vt:lpstr>2125</vt:lpstr>
      <vt:lpstr>2126</vt:lpstr>
      <vt:lpstr>2127</vt:lpstr>
      <vt:lpstr>2128</vt:lpstr>
      <vt:lpstr>2129</vt:lpstr>
      <vt:lpstr>2130</vt:lpstr>
      <vt:lpstr>2131</vt:lpstr>
      <vt:lpstr>2132</vt:lpstr>
      <vt:lpstr>2133</vt:lpstr>
      <vt:lpstr>2134</vt:lpstr>
      <vt:lpstr>2135</vt:lpstr>
      <vt:lpstr>2136</vt:lpstr>
      <vt:lpstr>2137</vt:lpstr>
      <vt:lpstr>2138</vt:lpstr>
      <vt:lpstr>2139</vt:lpstr>
      <vt:lpstr>2140</vt:lpstr>
      <vt:lpstr>2141</vt:lpstr>
      <vt:lpstr>2142</vt:lpstr>
      <vt:lpstr>2143</vt:lpstr>
      <vt:lpstr>2144</vt:lpstr>
      <vt:lpstr>2145</vt:lpstr>
      <vt:lpstr>2146</vt:lpstr>
      <vt:lpstr>2147</vt:lpstr>
      <vt:lpstr>2148</vt:lpstr>
      <vt:lpstr>2149</vt:lpstr>
      <vt:lpstr>2150</vt:lpstr>
      <vt:lpstr>2151</vt:lpstr>
      <vt:lpstr>2152</vt:lpstr>
      <vt:lpstr>2153</vt:lpstr>
      <vt:lpstr>2154</vt:lpstr>
      <vt:lpstr>2155</vt:lpstr>
      <vt:lpstr>2156</vt:lpstr>
      <vt:lpstr>2157</vt:lpstr>
      <vt:lpstr>2158</vt:lpstr>
      <vt:lpstr>2159</vt:lpstr>
      <vt:lpstr>2160</vt:lpstr>
      <vt:lpstr>2161</vt:lpstr>
      <vt:lpstr>2162</vt:lpstr>
      <vt:lpstr>2163</vt:lpstr>
      <vt:lpstr>2164</vt:lpstr>
      <vt:lpstr>2165</vt:lpstr>
      <vt:lpstr>2166</vt:lpstr>
      <vt:lpstr>2167</vt:lpstr>
      <vt:lpstr>2168</vt:lpstr>
      <vt:lpstr>2169</vt:lpstr>
      <vt:lpstr>2170</vt:lpstr>
      <vt:lpstr>2171</vt:lpstr>
      <vt:lpstr>2172</vt:lpstr>
      <vt:lpstr>2173</vt:lpstr>
      <vt:lpstr>2174</vt:lpstr>
      <vt:lpstr>2175</vt:lpstr>
      <vt:lpstr>2176</vt:lpstr>
      <vt:lpstr>2177</vt:lpstr>
      <vt:lpstr>2178</vt:lpstr>
      <vt:lpstr>2179</vt:lpstr>
      <vt:lpstr>2180</vt:lpstr>
      <vt:lpstr>2181</vt:lpstr>
      <vt:lpstr>2182</vt:lpstr>
      <vt:lpstr>2183</vt:lpstr>
      <vt:lpstr>2184</vt:lpstr>
      <vt:lpstr>2185</vt:lpstr>
      <vt:lpstr>2186</vt:lpstr>
      <vt:lpstr>2187</vt:lpstr>
      <vt:lpstr>2188</vt:lpstr>
      <vt:lpstr>2189</vt:lpstr>
      <vt:lpstr>2190</vt:lpstr>
      <vt:lpstr>2191</vt:lpstr>
      <vt:lpstr>2192</vt:lpstr>
      <vt:lpstr>2193</vt:lpstr>
      <vt:lpstr>2194</vt:lpstr>
      <vt:lpstr>2195</vt:lpstr>
      <vt:lpstr>2196</vt:lpstr>
      <vt:lpstr>2197</vt:lpstr>
      <vt:lpstr>2198</vt:lpstr>
      <vt:lpstr>2199</vt:lpstr>
      <vt:lpstr>2200</vt:lpstr>
      <vt:lpstr>2201</vt:lpstr>
      <vt:lpstr>2202</vt:lpstr>
      <vt:lpstr>2203</vt:lpstr>
      <vt:lpstr>2204</vt:lpstr>
      <vt:lpstr>2205</vt:lpstr>
      <vt:lpstr>2206</vt:lpstr>
      <vt:lpstr>2207</vt:lpstr>
      <vt:lpstr>2208</vt:lpstr>
      <vt:lpstr>2209</vt:lpstr>
      <vt:lpstr>2210</vt:lpstr>
      <vt:lpstr>2211</vt:lpstr>
      <vt:lpstr>2212</vt:lpstr>
      <vt:lpstr>2213</vt:lpstr>
      <vt:lpstr>2214</vt:lpstr>
      <vt:lpstr>2215</vt:lpstr>
      <vt:lpstr>2216</vt:lpstr>
      <vt:lpstr>2217</vt:lpstr>
      <vt:lpstr>2218 </vt:lpstr>
      <vt:lpstr>2219</vt:lpstr>
      <vt:lpstr>2220</vt:lpstr>
      <vt:lpstr>2221</vt:lpstr>
      <vt:lpstr>2222</vt:lpstr>
      <vt:lpstr>2223</vt:lpstr>
      <vt:lpstr>2224</vt:lpstr>
      <vt:lpstr>2225</vt:lpstr>
      <vt:lpstr>2226</vt:lpstr>
      <vt:lpstr>2227</vt:lpstr>
      <vt:lpstr>2228</vt:lpstr>
      <vt:lpstr>2229</vt:lpstr>
      <vt:lpstr>2230</vt:lpstr>
      <vt:lpstr>2231</vt:lpstr>
      <vt:lpstr>2232</vt:lpstr>
      <vt:lpstr>2233</vt:lpstr>
      <vt:lpstr>2234</vt:lpstr>
      <vt:lpstr>2235</vt:lpstr>
      <vt:lpstr>2236</vt:lpstr>
      <vt:lpstr>2237</vt:lpstr>
      <vt:lpstr>2238</vt:lpstr>
      <vt:lpstr>2239</vt:lpstr>
      <vt:lpstr>2240</vt:lpstr>
      <vt:lpstr>2241</vt:lpstr>
      <vt:lpstr>2242</vt:lpstr>
      <vt:lpstr>2243</vt:lpstr>
      <vt:lpstr>2244</vt:lpstr>
      <vt:lpstr>2245</vt:lpstr>
      <vt:lpstr>2246</vt:lpstr>
      <vt:lpstr>2247</vt:lpstr>
      <vt:lpstr>2248</vt:lpstr>
      <vt:lpstr>2249</vt:lpstr>
      <vt:lpstr>2250</vt:lpstr>
      <vt:lpstr>2251</vt:lpstr>
      <vt:lpstr>2252</vt:lpstr>
      <vt:lpstr>2253</vt:lpstr>
      <vt:lpstr>2254</vt:lpstr>
      <vt:lpstr>2255</vt:lpstr>
      <vt:lpstr>2256</vt:lpstr>
      <vt:lpstr>2257</vt:lpstr>
      <vt:lpstr>2258</vt:lpstr>
      <vt:lpstr>2259</vt:lpstr>
      <vt:lpstr>2260</vt:lpstr>
      <vt:lpstr>2261</vt:lpstr>
      <vt:lpstr>2262</vt:lpstr>
      <vt:lpstr>2263</vt:lpstr>
      <vt:lpstr>2264</vt:lpstr>
      <vt:lpstr>2265</vt:lpstr>
      <vt:lpstr>2266</vt:lpstr>
      <vt:lpstr>2267</vt:lpstr>
      <vt:lpstr>2268</vt:lpstr>
      <vt:lpstr>2269</vt:lpstr>
      <vt:lpstr>2270</vt:lpstr>
      <vt:lpstr>2271</vt:lpstr>
      <vt:lpstr>2272</vt:lpstr>
      <vt:lpstr>2273</vt:lpstr>
      <vt:lpstr>2274</vt:lpstr>
      <vt:lpstr>2275</vt:lpstr>
      <vt:lpstr>2276</vt:lpstr>
      <vt:lpstr>2277</vt:lpstr>
      <vt:lpstr>2278</vt:lpstr>
      <vt:lpstr>2279</vt:lpstr>
      <vt:lpstr>2280</vt:lpstr>
      <vt:lpstr>2281</vt:lpstr>
      <vt:lpstr>2282</vt:lpstr>
      <vt:lpstr>2283</vt:lpstr>
      <vt:lpstr>2284</vt:lpstr>
      <vt:lpstr>2285</vt:lpstr>
      <vt:lpstr>2286</vt:lpstr>
      <vt:lpstr>2287</vt:lpstr>
      <vt:lpstr>2288</vt:lpstr>
      <vt:lpstr>2289</vt:lpstr>
      <vt:lpstr>2290</vt:lpstr>
      <vt:lpstr>2291</vt:lpstr>
      <vt:lpstr>2292</vt:lpstr>
      <vt:lpstr>2293</vt:lpstr>
      <vt:lpstr>2294</vt:lpstr>
      <vt:lpstr>2295</vt:lpstr>
      <vt:lpstr>2296</vt:lpstr>
      <vt:lpstr>2297</vt:lpstr>
      <vt:lpstr>2298</vt:lpstr>
      <vt:lpstr>2299</vt:lpstr>
      <vt:lpstr>2300</vt:lpstr>
      <vt:lpstr>2301</vt:lpstr>
      <vt:lpstr>2302</vt:lpstr>
      <vt:lpstr>2303</vt:lpstr>
      <vt:lpstr>2304</vt:lpstr>
      <vt:lpstr>2305</vt:lpstr>
      <vt:lpstr>2306</vt:lpstr>
      <vt:lpstr>2307</vt:lpstr>
      <vt:lpstr>2308</vt:lpstr>
      <vt:lpstr>2309</vt:lpstr>
      <vt:lpstr>2310</vt:lpstr>
      <vt:lpstr>2311</vt:lpstr>
      <vt:lpstr>2312</vt:lpstr>
      <vt:lpstr>2313</vt:lpstr>
      <vt:lpstr>2314</vt:lpstr>
      <vt:lpstr>2315</vt:lpstr>
      <vt:lpstr>2316</vt:lpstr>
      <vt:lpstr>2317</vt:lpstr>
      <vt:lpstr>2318</vt:lpstr>
      <vt:lpstr>2319</vt:lpstr>
      <vt:lpstr>2320</vt:lpstr>
      <vt:lpstr>2321</vt:lpstr>
      <vt:lpstr>2322</vt:lpstr>
      <vt:lpstr>2323</vt:lpstr>
      <vt:lpstr>2324</vt:lpstr>
      <vt:lpstr>2325</vt:lpstr>
      <vt:lpstr>2326</vt:lpstr>
      <vt:lpstr>2327</vt:lpstr>
      <vt:lpstr>2328</vt:lpstr>
      <vt:lpstr>2329</vt:lpstr>
      <vt:lpstr>2330</vt:lpstr>
      <vt:lpstr>2331</vt:lpstr>
      <vt:lpstr>2332</vt:lpstr>
      <vt:lpstr>2333</vt:lpstr>
      <vt:lpstr>2334</vt:lpstr>
      <vt:lpstr>2335</vt:lpstr>
      <vt:lpstr>2336</vt:lpstr>
      <vt:lpstr>2337</vt:lpstr>
      <vt:lpstr>2338</vt:lpstr>
      <vt:lpstr>2339</vt:lpstr>
      <vt:lpstr>2340</vt:lpstr>
      <vt:lpstr>2341</vt:lpstr>
      <vt:lpstr>2342</vt:lpstr>
      <vt:lpstr>2343</vt:lpstr>
      <vt:lpstr>2344</vt:lpstr>
      <vt:lpstr>2345</vt:lpstr>
      <vt:lpstr>2346</vt:lpstr>
      <vt:lpstr>2347</vt:lpstr>
      <vt:lpstr>2348</vt:lpstr>
      <vt:lpstr>2349</vt:lpstr>
      <vt:lpstr>2350</vt:lpstr>
      <vt:lpstr>2351</vt:lpstr>
      <vt:lpstr>2352</vt:lpstr>
      <vt:lpstr>2353</vt:lpstr>
      <vt:lpstr>2354</vt:lpstr>
      <vt:lpstr>2355</vt:lpstr>
      <vt:lpstr>2356</vt:lpstr>
      <vt:lpstr>2357</vt:lpstr>
      <vt:lpstr>2358</vt:lpstr>
      <vt:lpstr>2359</vt:lpstr>
      <vt:lpstr>2360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| SARAHANI |</dc:creator>
  <cp:lastModifiedBy>zakuwantungsten</cp:lastModifiedBy>
  <dcterms:created xsi:type="dcterms:W3CDTF">2025-10-15T12:01:00Z</dcterms:created>
  <dcterms:modified xsi:type="dcterms:W3CDTF">2025-11-28T12:01:24Z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  <property fmtid="{D5CDD505-2E9C-101B-9397-08002B2CF9AE}" pid="4" name="KSOReadingLayout">
    <vt:bool>true</vt:bool>
  </property>
</Properties>
</file>